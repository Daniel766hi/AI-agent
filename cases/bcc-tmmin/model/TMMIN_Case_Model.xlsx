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14.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BS" sheetId="2" state="visible" r:id="rId2"/>
    <sheet xmlns:r="http://schemas.openxmlformats.org/officeDocument/2006/relationships" name="Answer_Guide" sheetId="3" state="visible" r:id="rId3"/>
    <sheet xmlns:r="http://schemas.openxmlformats.org/officeDocument/2006/relationships" name="Ideation" sheetId="4" state="visible" r:id="rId4"/>
    <sheet xmlns:r="http://schemas.openxmlformats.org/officeDocument/2006/relationships" name="Simulation12" sheetId="5" state="visible" r:id="rId5"/>
    <sheet xmlns:r="http://schemas.openxmlformats.org/officeDocument/2006/relationships" name="Simulation11" sheetId="6" state="visible" r:id="rId6"/>
    <sheet xmlns:r="http://schemas.openxmlformats.org/officeDocument/2006/relationships" name="Simulation10" sheetId="7" state="visible" r:id="rId7"/>
    <sheet xmlns:r="http://schemas.openxmlformats.org/officeDocument/2006/relationships" name="Simulation9" sheetId="8" state="visible" r:id="rId8"/>
    <sheet xmlns:r="http://schemas.openxmlformats.org/officeDocument/2006/relationships" name="Simulation8" sheetId="9" state="visible" r:id="rId9"/>
    <sheet xmlns:r="http://schemas.openxmlformats.org/officeDocument/2006/relationships" name="Simulation7" sheetId="10" state="visible" r:id="rId10"/>
    <sheet xmlns:r="http://schemas.openxmlformats.org/officeDocument/2006/relationships" name="Simulation6" sheetId="11" state="visible" r:id="rId11"/>
    <sheet xmlns:r="http://schemas.openxmlformats.org/officeDocument/2006/relationships" name="Simulation5" sheetId="12" state="visible" r:id="rId12"/>
    <sheet xmlns:r="http://schemas.openxmlformats.org/officeDocument/2006/relationships" name="Simulation4" sheetId="13" state="visible" r:id="rId13"/>
    <sheet xmlns:r="http://schemas.openxmlformats.org/officeDocument/2006/relationships" name="Simulation3" sheetId="14" state="visible" r:id="rId14"/>
    <sheet xmlns:r="http://schemas.openxmlformats.org/officeDocument/2006/relationships" name="Simulation2" sheetId="15" state="visible" r:id="rId15"/>
    <sheet xmlns:r="http://schemas.openxmlformats.org/officeDocument/2006/relationships" name="Simulation1" sheetId="16" state="visible" r:id="rId16"/>
    <sheet xmlns:r="http://schemas.openxmlformats.org/officeDocument/2006/relationships" name="Simulation" sheetId="17" state="visible" r:id="rId17"/>
    <sheet xmlns:r="http://schemas.openxmlformats.org/officeDocument/2006/relationships" name="Exhibits" sheetId="18" state="visible" r:id="rId18"/>
    <sheet xmlns:r="http://schemas.openxmlformats.org/officeDocument/2006/relationships" name="Assumptions" sheetId="19" state="visible" r:id="rId19"/>
    <sheet xmlns:r="http://schemas.openxmlformats.org/officeDocument/2006/relationships" name="Model" sheetId="20" state="visible" r:id="rId20"/>
    <sheet xmlns:r="http://schemas.openxmlformats.org/officeDocument/2006/relationships" name="Dashboard" sheetId="21" state="visible" r:id="rId21"/>
    <sheet xmlns:r="http://schemas.openxmlformats.org/officeDocument/2006/relationships" name="Breakeven" sheetId="22" state="visible" r:id="rId22"/>
    <sheet xmlns:r="http://schemas.openxmlformats.org/officeDocument/2006/relationships" name="Capability" sheetId="23" state="visible" r:id="rId23"/>
    <sheet xmlns:r="http://schemas.openxmlformats.org/officeDocument/2006/relationships" name="KPIs" sheetId="24" state="visible" r:id="rId24"/>
    <sheet xmlns:r="http://schemas.openxmlformats.org/officeDocument/2006/relationships" name="Roadmap" sheetId="25" state="visible" r:id="rId25"/>
    <sheet xmlns:r="http://schemas.openxmlformats.org/officeDocument/2006/relationships" name="Risks" sheetId="26" state="visible" r:id="rId26"/>
    <sheet xmlns:r="http://schemas.openxmlformats.org/officeDocument/2006/relationships" name="QA_Bank" sheetId="27" state="visible" r:id="rId27"/>
  </sheets>
  <definedNames/>
  <calcPr calcId="124519" fullCalcOnLoad="1"/>
</workbook>
</file>

<file path=xl/styles.xml><?xml version="1.0" encoding="utf-8"?>
<styleSheet xmlns="http://schemas.openxmlformats.org/spreadsheetml/2006/main">
  <numFmts count="5">
    <numFmt numFmtId="164" formatCode="0.0"/>
    <numFmt numFmtId="165" formatCode="0.0%;(0.0%);&quot;-&quot;"/>
    <numFmt numFmtId="166" formatCode="#,##0;(#,##0);&quot;-&quot;"/>
    <numFmt numFmtId="167" formatCode="#,##0.0;(#,##0.0);&quot;-&quot;"/>
    <numFmt numFmtId="168" formatCode="0.000"/>
  </numFmts>
  <fonts count="12">
    <font>
      <name val="Calibri"/>
      <family val="2"/>
      <color theme="1"/>
      <sz val="11"/>
      <scheme val="minor"/>
    </font>
    <font>
      <name val="Arial"/>
      <b val="1"/>
      <color rgb="001F3864"/>
      <sz val="14"/>
    </font>
    <font>
      <name val="Arial"/>
      <color rgb="00000000"/>
      <sz val="10"/>
    </font>
    <font>
      <name val="Arial"/>
      <b val="1"/>
      <sz val="10"/>
    </font>
    <font>
      <name val="Arial"/>
      <color rgb="000000FF"/>
      <sz val="10"/>
    </font>
    <font>
      <name val="Arial"/>
      <color rgb="00008000"/>
      <sz val="10"/>
    </font>
    <font>
      <name val="Arial"/>
      <b val="1"/>
      <color rgb="00FFFFFF"/>
      <sz val="11"/>
    </font>
    <font>
      <name val="Arial"/>
      <b val="1"/>
      <color rgb="001F3864"/>
      <sz val="12"/>
    </font>
    <font>
      <name val="Arial"/>
      <b val="1"/>
      <color rgb="000000FF"/>
    </font>
    <font>
      <name val="Arial"/>
      <color rgb="00D9E1F2"/>
      <sz val="10"/>
    </font>
    <font>
      <name val="Arial"/>
      <sz val="10"/>
    </font>
    <font>
      <name val="Arial"/>
      <b val="1"/>
      <color rgb="00FFFFFF"/>
      <sz val="10"/>
    </font>
  </fonts>
  <fills count="7">
    <fill>
      <patternFill/>
    </fill>
    <fill>
      <patternFill patternType="gray125"/>
    </fill>
    <fill>
      <patternFill patternType="solid">
        <fgColor rgb="00FFFF00"/>
      </patternFill>
    </fill>
    <fill>
      <patternFill patternType="solid">
        <fgColor rgb="00F8CBAD"/>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2" borderId="0" pivotButton="0" quotePrefix="0" xfId="0"/>
    <xf numFmtId="0" fontId="2" fillId="3" borderId="0" pivotButton="0" quotePrefix="0" xfId="0"/>
    <xf numFmtId="0" fontId="6" fillId="4" borderId="1" applyAlignment="1" pivotButton="0" quotePrefix="0" xfId="0">
      <alignment vertical="center" wrapText="1"/>
    </xf>
    <xf numFmtId="0" fontId="3" fillId="0"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1" fontId="3" fillId="0" borderId="0" applyAlignment="1" pivotButton="0" quotePrefix="0" xfId="0">
      <alignment vertical="top" wrapText="1"/>
    </xf>
    <xf numFmtId="164" fontId="2" fillId="0" borderId="0" applyAlignment="1" pivotButton="0" quotePrefix="0" xfId="0">
      <alignment vertical="top" wrapText="1"/>
    </xf>
    <xf numFmtId="1" fontId="3" fillId="0" borderId="0" pivotButton="0" quotePrefix="0" xfId="0"/>
    <xf numFmtId="164" fontId="3" fillId="0" borderId="0" pivotButton="0" quotePrefix="0" xfId="0"/>
    <xf numFmtId="0" fontId="3" fillId="5" borderId="0" pivotButton="0" quotePrefix="0" xfId="0"/>
    <xf numFmtId="0" fontId="0" fillId="5" borderId="0" pivotButton="0" quotePrefix="0" xfId="0"/>
    <xf numFmtId="0" fontId="9" fillId="5" borderId="0" pivotButton="0" quotePrefix="0" xfId="0"/>
    <xf numFmtId="0" fontId="4" fillId="0" borderId="0" applyAlignment="1" pivotButton="0" quotePrefix="0" xfId="0">
      <alignment vertical="top" wrapText="1"/>
    </xf>
    <xf numFmtId="165" fontId="4" fillId="0" borderId="0" pivotButton="0" quotePrefix="0" xfId="0"/>
    <xf numFmtId="165"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165" fontId="4" fillId="2" borderId="0" pivotButton="0" quotePrefix="0" xfId="0"/>
    <xf numFmtId="0" fontId="4" fillId="0" borderId="1" pivotButton="0" quotePrefix="0" xfId="0"/>
    <xf numFmtId="2" fontId="3" fillId="0" borderId="0" pivotButton="0" quotePrefix="0" xfId="0"/>
    <xf numFmtId="166" fontId="4" fillId="0" borderId="0" pivotButton="0" quotePrefix="0" xfId="0"/>
    <xf numFmtId="165" fontId="2"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0" fontId="4" fillId="2" borderId="0" pivotButton="0" quotePrefix="0" xfId="0"/>
    <xf numFmtId="167" fontId="4" fillId="2" borderId="0" pivotButton="0" quotePrefix="0" xfId="0"/>
    <xf numFmtId="164" fontId="2" fillId="0" borderId="0" pivotButton="0" quotePrefix="0" xfId="0"/>
    <xf numFmtId="0" fontId="7" fillId="0" borderId="0" pivotButton="0" quotePrefix="0" xfId="0"/>
    <xf numFmtId="165" fontId="5" fillId="0" borderId="0" pivotButton="0" quotePrefix="0" xfId="0"/>
    <xf numFmtId="168"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8" fontId="3" fillId="0" borderId="0" pivotButton="0" quotePrefix="0" xfId="0"/>
    <xf numFmtId="0" fontId="6" fillId="4"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0" fontId="3" fillId="0" borderId="1" pivotButton="0" quotePrefix="0" xfId="0"/>
    <xf numFmtId="164" fontId="5" fillId="0" borderId="1" pivotButton="0" quotePrefix="0" xfId="0"/>
    <xf numFmtId="165" fontId="4" fillId="0" borderId="1" pivotButton="0" quotePrefix="0" xfId="0"/>
    <xf numFmtId="165" fontId="5" fillId="0" borderId="1" pivotButton="0" quotePrefix="0" xfId="0"/>
    <xf numFmtId="165" fontId="5" fillId="0" borderId="1" applyAlignment="1" pivotButton="0" quotePrefix="0" xfId="0">
      <alignment vertical="top" wrapText="1"/>
    </xf>
    <xf numFmtId="164" fontId="2" fillId="0" borderId="0" applyAlignment="1" pivotButton="0" quotePrefix="0" xfId="0">
      <alignment vertical="top" wrapText="1"/>
    </xf>
    <xf numFmtId="164" fontId="3" fillId="0" borderId="0" pivotButton="0" quotePrefix="0" xfId="0"/>
    <xf numFmtId="0" fontId="10" fillId="0" borderId="0" pivotButton="0" quotePrefix="0" xfId="0"/>
    <xf numFmtId="0" fontId="11" fillId="4" borderId="1" applyAlignment="1" pivotButton="0" quotePrefix="0" xfId="0">
      <alignment vertical="top" wrapText="1"/>
    </xf>
    <xf numFmtId="3" fontId="3" fillId="0" borderId="1" applyAlignment="1" pivotButton="0" quotePrefix="0" xfId="0">
      <alignment vertical="top" wrapText="1"/>
    </xf>
    <xf numFmtId="3" fontId="10" fillId="0" borderId="1" pivotButton="0" quotePrefix="0" xfId="0"/>
    <xf numFmtId="165" fontId="10" fillId="0" borderId="1" pivotButton="0" quotePrefix="0" xfId="0"/>
    <xf numFmtId="3" fontId="3" fillId="6" borderId="1" applyAlignment="1" pivotButton="0" quotePrefix="0" xfId="0">
      <alignment vertical="top" wrapText="1"/>
    </xf>
    <xf numFmtId="3" fontId="10" fillId="6" borderId="1" pivotButton="0" quotePrefix="0" xfId="0"/>
    <xf numFmtId="165" fontId="10" fillId="6" borderId="1" pivotButton="0" quotePrefix="0" xfId="0"/>
    <xf numFmtId="0" fontId="10" fillId="0" borderId="0" applyAlignment="1" pivotButton="0" quotePrefix="0" xfId="0">
      <alignment vertical="top" wrapText="1"/>
    </xf>
    <xf numFmtId="3" fontId="4" fillId="0" borderId="0" pivotButton="0" quotePrefix="0" xfId="0"/>
    <xf numFmtId="165" fontId="10" fillId="0" borderId="0" pivotButton="0" quotePrefix="0" xfId="0"/>
    <xf numFmtId="167" fontId="10" fillId="0" borderId="0" pivotButton="0" quotePrefix="0" xfId="0"/>
    <xf numFmtId="167" fontId="3" fillId="0" borderId="1" pivotButton="0" quotePrefix="0" xfId="0"/>
    <xf numFmtId="167" fontId="10" fillId="0" borderId="1" pivotButton="0" quotePrefix="0" xfId="0"/>
    <xf numFmtId="167" fontId="3" fillId="6" borderId="1" pivotButton="0" quotePrefix="0" xfId="0"/>
    <xf numFmtId="167" fontId="10" fillId="6" borderId="1" pivotButton="0" quotePrefix="0" xfId="0"/>
    <xf numFmtId="3" fontId="10" fillId="0" borderId="0" pivotButton="0" quotePrefix="0" xfId="0"/>
    <xf numFmtId="164" fontId="3" fillId="0" borderId="1" pivotButton="0" quotePrefix="0" xfId="0"/>
    <xf numFmtId="164" fontId="10" fillId="0" borderId="1" pivotButton="0" quotePrefix="0" xfId="0"/>
    <xf numFmtId="166" fontId="4"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167" fontId="4" fillId="2" borderId="0" pivotButton="0" quotePrefix="0" xfId="0"/>
    <xf numFmtId="164"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164" fontId="5" fillId="0" borderId="1" pivotButton="0" quotePrefix="0" xfId="0"/>
  </cellXfs>
  <cellStyles count="1">
    <cellStyle name="Normal" xfId="0" builtinId="0" hidden="0"/>
  </cellStyles>
  <dxfs count="6">
    <dxf>
      <fill>
        <patternFill patternType="solid">
          <fgColor rgb="00F8CBAD"/>
        </patternFill>
      </fill>
    </dxf>
    <dxf>
      <fill>
        <patternFill patternType="solid">
          <fgColor rgb="00FFFF00"/>
        </patternFill>
      </fill>
    </dxf>
    <dxf>
      <fill>
        <patternFill patternType="solid">
          <fgColor rgb="00BDD7EE"/>
        </patternFill>
      </fill>
    </dxf>
    <dxf>
      <fill>
        <patternFill patternType="solid">
          <fgColor rgb="00C6E0B4"/>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'Simulation12'!$A$42:$A$46</f>
            </numRef>
          </cat>
          <val>
            <numRef>
              <f>'Simulation12'!$B$42:$B$46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'Simulation12'!$A$75:$A$90</f>
            </numRef>
          </cat>
          <val>
            <numRef>
              <f>'Simulation12'!$B$75:$B$90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'Simulation11'!$A$42:$A$46</f>
            </numRef>
          </cat>
          <val>
            <numRef>
              <f>'Simulation11'!$B$42:$B$46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'Simulation11'!$A$75:$A$90</f>
            </numRef>
          </cat>
          <val>
            <numRef>
              <f>'Simulation11'!$B$75:$B$90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'Simulation10'!$A$42:$A$46</f>
            </numRef>
          </cat>
          <val>
            <numRef>
              <f>'Simulation10'!$B$42:$B$46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'Simulation10'!$A$75:$A$90</f>
            </numRef>
          </cat>
          <val>
            <numRef>
              <f>'Simulation10'!$B$75:$B$90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'Simulation9'!$A$42:$A$46</f>
            </numRef>
          </cat>
          <val>
            <numRef>
              <f>'Simulation9'!$B$42:$B$46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'Simulation9'!$A$75:$A$90</f>
            </numRef>
          </cat>
          <val>
            <numRef>
              <f>'Simulation9'!$B$75:$B$90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'Simulation8'!$A$42:$A$46</f>
            </numRef>
          </cat>
          <val>
            <numRef>
              <f>'Simulation8'!$B$42:$B$46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'Simulation8'!$A$75:$A$90</f>
            </numRef>
          </cat>
          <val>
            <numRef>
              <f>'Simulation8'!$B$75:$B$90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'Simulation7'!$A$42:$A$46</f>
            </numRef>
          </cat>
          <val>
            <numRef>
              <f>'Simulation7'!$B$42:$B$46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'Simulation7'!$A$75:$A$90</f>
            </numRef>
          </cat>
          <val>
            <numRef>
              <f>'Simulation7'!$B$75:$B$90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'Simulation6'!$A$42:$A$46</f>
            </numRef>
          </cat>
          <val>
            <numRef>
              <f>'Simulation6'!$B$42:$B$46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'Simulation6'!$A$75:$A$90</f>
            </numRef>
          </cat>
          <val>
            <numRef>
              <f>'Simulation6'!$B$75:$B$90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'Simulation5'!$A$42:$A$46</f>
            </numRef>
          </cat>
          <val>
            <numRef>
              <f>'Simulation5'!$B$42:$B$46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'Simulation5'!$A$75:$A$90</f>
            </numRef>
          </cat>
          <val>
            <numRef>
              <f>'Simulation5'!$B$75:$B$90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'Simulation4'!$A$42:$A$46</f>
            </numRef>
          </cat>
          <val>
            <numRef>
              <f>'Simulation4'!$B$42:$B$46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'Simulation4'!$A$75:$A$90</f>
            </numRef>
          </cat>
          <val>
            <numRef>
              <f>'Simulation4'!$B$75:$B$90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'Simulation3'!$A$42:$A$46</f>
            </numRef>
          </cat>
          <val>
            <numRef>
              <f>'Simulation3'!$B$42:$B$46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'Simulation3'!$A$75:$A$90</f>
            </numRef>
          </cat>
          <val>
            <numRef>
              <f>'Simulation3'!$B$75:$B$90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'Simulation2'!$A$42:$A$46</f>
            </numRef>
          </cat>
          <val>
            <numRef>
              <f>'Simulation2'!$B$42:$B$46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'Simulation2'!$A$75:$A$90</f>
            </numRef>
          </cat>
          <val>
            <numRef>
              <f>'Simulation2'!$B$75:$B$90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'Simulation1'!$A$42:$A$46</f>
            </numRef>
          </cat>
          <val>
            <numRef>
              <f>'Simulation1'!$B$42:$B$46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'Simulation1'!$A$75:$A$90</f>
            </numRef>
          </cat>
          <val>
            <numRef>
              <f>'Simulation1'!$B$75:$B$90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'Simulation'!$A$42:$A$46</f>
            </numRef>
          </cat>
          <val>
            <numRef>
              <f>'Simulation'!$B$42:$B$46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'Simulation'!$A$75:$A$90</f>
            </numRef>
          </cat>
          <val>
            <numRef>
              <f>'Simulation'!$B$75:$B$90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NPV by scenario (Rp B)</a:t>
            </a:r>
          </a:p>
        </rich>
      </tx>
    </title>
    <plotArea>
      <barChart>
        <barDir val="col"/>
        <grouping val="clustered"/>
        <ser>
          <idx val="0"/>
          <order val="0"/>
          <spPr>
            <a:ln xmlns:a="http://schemas.openxmlformats.org/drawingml/2006/main">
              <a:prstDash val="solid"/>
            </a:ln>
          </spPr>
          <cat>
            <numRef>
              <f>'Dashboard'!$B$3:$D$3</f>
            </numRef>
          </cat>
          <val>
            <numRef>
              <f>'Dashboard'!$B$4:$D$4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Base case savings by lever (Rp B)</a:t>
            </a:r>
          </a:p>
        </rich>
      </tx>
    </title>
    <plotArea>
      <barChart>
        <barDir val="col"/>
        <grouping val="stacked"/>
        <ser>
          <idx val="0"/>
          <order val="0"/>
          <tx>
            <strRef>
              <f>'Dashboard'!A17</f>
            </strRef>
          </tx>
          <spPr>
            <a:ln xmlns:a="http://schemas.openxmlformats.org/drawingml/2006/main">
              <a:prstDash val="solid"/>
            </a:ln>
          </spPr>
          <cat>
            <numRef>
              <f>'Dashboard'!$B$16:$F$16</f>
            </numRef>
          </cat>
          <val>
            <numRef>
              <f>'Dashboard'!$B$17:$F$17</f>
            </numRef>
          </val>
        </ser>
        <ser>
          <idx val="1"/>
          <order val="1"/>
          <tx>
            <strRef>
              <f>'Dashboard'!A18</f>
            </strRef>
          </tx>
          <spPr>
            <a:ln xmlns:a="http://schemas.openxmlformats.org/drawingml/2006/main">
              <a:prstDash val="solid"/>
            </a:ln>
          </spPr>
          <cat>
            <numRef>
              <f>'Dashboard'!$B$16:$F$16</f>
            </numRef>
          </cat>
          <val>
            <numRef>
              <f>'Dashboard'!$B$18:$F$18</f>
            </numRef>
          </val>
        </ser>
        <ser>
          <idx val="2"/>
          <order val="2"/>
          <tx>
            <strRef>
              <f>'Dashboard'!A19</f>
            </strRef>
          </tx>
          <spPr>
            <a:ln xmlns:a="http://schemas.openxmlformats.org/drawingml/2006/main">
              <a:prstDash val="solid"/>
            </a:ln>
          </spPr>
          <cat>
            <numRef>
              <f>'Dashboard'!$B$16:$F$16</f>
            </numRef>
          </cat>
          <val>
            <numRef>
              <f>'Dashboard'!$B$19:$F$19</f>
            </numRef>
          </val>
        </ser>
        <ser>
          <idx val="3"/>
          <order val="3"/>
          <tx>
            <strRef>
              <f>'Dashboard'!A20</f>
            </strRef>
          </tx>
          <spPr>
            <a:ln xmlns:a="http://schemas.openxmlformats.org/drawingml/2006/main">
              <a:prstDash val="solid"/>
            </a:ln>
          </spPr>
          <cat>
            <numRef>
              <f>'Dashboard'!$B$16:$F$16</f>
            </numRef>
          </cat>
          <val>
            <numRef>
              <f>'Dashboard'!$B$20:$F$20</f>
            </numRef>
          </val>
        </ser>
        <ser>
          <idx val="4"/>
          <order val="4"/>
          <tx>
            <strRef>
              <f>'Dashboard'!A21</f>
            </strRef>
          </tx>
          <spPr>
            <a:ln xmlns:a="http://schemas.openxmlformats.org/drawingml/2006/main">
              <a:prstDash val="solid"/>
            </a:ln>
          </spPr>
          <cat>
            <numRef>
              <f>'Dashboard'!$B$16:$F$16</f>
            </numRef>
          </cat>
          <val>
            <numRef>
              <f>'Dashboard'!$B$21:$F$21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5.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s>
</file>

<file path=xl/drawings/_rels/drawing6.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7.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s>
</file>

<file path=xl/drawings/_rels/drawing8.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s>
</file>

<file path=xl/drawings/_rels/drawing9.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s>
</file>

<file path=xl/drawings/_rels/drawing10.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s>
</file>

<file path=xl/drawings/_rels/drawing11.xml.rels><Relationships xmlns="http://schemas.openxmlformats.org/package/2006/relationships"><Relationship Type="http://schemas.openxmlformats.org/officeDocument/2006/relationships/chart" Target="/xl/charts/chart21.xml" Id="rId1"/><Relationship Type="http://schemas.openxmlformats.org/officeDocument/2006/relationships/chart" Target="/xl/charts/chart22.xml" Id="rId2"/></Relationships>
</file>

<file path=xl/drawings/_rels/drawing12.xml.rels><Relationships xmlns="http://schemas.openxmlformats.org/package/2006/relationships"><Relationship Type="http://schemas.openxmlformats.org/officeDocument/2006/relationships/chart" Target="/xl/charts/chart23.xml" Id="rId1"/><Relationship Type="http://schemas.openxmlformats.org/officeDocument/2006/relationships/chart" Target="/xl/charts/chart24.xml" Id="rId2"/></Relationships>
</file>

<file path=xl/drawings/_rels/drawing13.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s>
</file>

<file path=xl/drawings/_rels/drawing14.xml.rels><Relationships xmlns="http://schemas.openxmlformats.org/package/2006/relationships"><Relationship Type="http://schemas.openxmlformats.org/officeDocument/2006/relationships/chart" Target="/xl/charts/chart27.xml" Id="rId1"/><Relationship Type="http://schemas.openxmlformats.org/officeDocument/2006/relationships/chart" Target="/xl/charts/chart28.xml" Id="rId2"/></Relationships>
</file>

<file path=xl/drawings/drawing1.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9.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0.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1.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2.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3.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4.xml><?xml version="1.0" encoding="utf-8"?>
<wsDr xmlns="http://schemas.openxmlformats.org/drawingml/2006/spreadsheetDrawing">
  <oneCellAnchor>
    <from>
      <col>6</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17</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_rels/sheet21.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00" customWidth="1" min="2" max="2"/>
  </cols>
  <sheetData>
    <row r="1">
      <c r="A1" s="1" t="inlineStr">
        <is>
          <t>TMMIN Next-Level Kaizen: Case Model &amp; Answer Kit</t>
        </is>
      </c>
    </row>
    <row r="2">
      <c r="A2" s="2" t="inlineStr">
        <is>
          <t>Working file for the team. Every number traces to a case exhibit or a labeled assumption.</t>
        </is>
      </c>
    </row>
    <row r="4">
      <c r="A4" s="3" t="inlineStr">
        <is>
          <t>Colour legend</t>
        </is>
      </c>
    </row>
    <row r="5">
      <c r="A5" s="4" t="inlineStr">
        <is>
          <t>Blue text</t>
        </is>
      </c>
      <c r="B5" s="2" t="inlineStr">
        <is>
          <t>Hardcoded input (from the case or a team assumption)</t>
        </is>
      </c>
    </row>
    <row r="6">
      <c r="A6" s="2" t="inlineStr">
        <is>
          <t>Black text</t>
        </is>
      </c>
      <c r="B6" s="2" t="inlineStr">
        <is>
          <t>Formula, do not overwrite</t>
        </is>
      </c>
    </row>
    <row r="7">
      <c r="A7" s="5" t="inlineStr">
        <is>
          <t>Green text</t>
        </is>
      </c>
      <c r="B7" s="2" t="inlineStr">
        <is>
          <t>Link from another tab</t>
        </is>
      </c>
    </row>
    <row r="8">
      <c r="A8" s="6" t="inlineStr">
        <is>
          <t>Yellow fill</t>
        </is>
      </c>
      <c r="B8" s="2" t="inlineStr">
        <is>
          <t>Key assumption the team must justify or change</t>
        </is>
      </c>
    </row>
    <row r="9">
      <c r="A9" s="7" t="inlineStr">
        <is>
          <t>Red fill</t>
        </is>
      </c>
      <c r="B9" s="2" t="inlineStr">
        <is>
          <t>VERIFY against the original casebook PDF (text came through garbled)</t>
        </is>
      </c>
    </row>
    <row r="11">
      <c r="A11" s="3" t="inlineStr">
        <is>
          <t>Tab map</t>
        </is>
      </c>
    </row>
    <row r="12">
      <c r="A12" s="3" t="inlineStr">
        <is>
          <t>WBS</t>
        </is>
      </c>
      <c r="B12" s="2" t="inlineStr">
        <is>
          <t>Work breakdown: who does what, which day, done criteria, hours, daily Gantt. Start here.</t>
        </is>
      </c>
    </row>
    <row r="13">
      <c r="A13" s="3" t="inlineStr">
        <is>
          <t>Answer_Guide</t>
        </is>
      </c>
      <c r="B13" s="2" t="inlineStr">
        <is>
          <t>How to answer each sub-question, deck storyline with action titles, Q&amp;A prep</t>
        </is>
      </c>
    </row>
    <row r="14">
      <c r="A14" s="3" t="inlineStr">
        <is>
          <t>Ideation</t>
        </is>
      </c>
      <c r="B14" s="2" t="inlineStr">
        <is>
          <t>8 idea options with case gaps, TPS anchor, Toyota precedent, references, weighted scoring</t>
        </is>
      </c>
    </row>
    <row r="15">
      <c r="A15" s="3" t="inlineStr">
        <is>
          <t>Simulation</t>
        </is>
      </c>
      <c r="B15" s="2" t="inlineStr">
        <is>
          <t>Idea tests run in Python: closed-loop quality sim, financial Monte Carlo, roadmap strategies, tornado</t>
        </is>
      </c>
    </row>
    <row r="16">
      <c r="A16" s="3" t="inlineStr">
        <is>
          <t>Exhibits</t>
        </is>
      </c>
      <c r="B16" s="2" t="inlineStr">
        <is>
          <t>Clean re-typed case data (Exhibits 1, 3-9). Fix red cells first</t>
        </is>
      </c>
    </row>
    <row r="17">
      <c r="A17" s="3" t="inlineStr">
        <is>
          <t>Assumptions</t>
        </is>
      </c>
      <c r="B17" s="2" t="inlineStr">
        <is>
          <t>All model inputs + benchmark evidence for each lever; pilot-light phasing</t>
        </is>
      </c>
    </row>
    <row r="18">
      <c r="A18" s="3" t="inlineStr">
        <is>
          <t>Model</t>
        </is>
      </c>
      <c r="B18" s="2" t="inlineStr">
        <is>
          <t>Savings by lever, investment, running cost, NPV, IRR, payback for 3 scenarios (2026-2030)</t>
        </is>
      </c>
    </row>
    <row r="19">
      <c r="A19" s="3" t="inlineStr">
        <is>
          <t>Dashboard</t>
        </is>
      </c>
      <c r="B19" s="2" t="inlineStr">
        <is>
          <t>Scenario summary and charts for the financial slide</t>
        </is>
      </c>
    </row>
    <row r="20">
      <c r="A20" s="3" t="inlineStr">
        <is>
          <t>Breakeven</t>
        </is>
      </c>
      <c r="B20" s="2" t="inlineStr">
        <is>
          <t>How much saving pays back Rp40-120B, plus NPV sensitivity grid</t>
        </is>
      </c>
    </row>
    <row r="21">
      <c r="A21" s="3" t="inlineStr">
        <is>
          <t>Capability</t>
        </is>
      </c>
      <c r="B21" s="2" t="inlineStr">
        <is>
          <t>Workforce model: engineer skill levels, improvement time, know-how, ramp-up to 2030</t>
        </is>
      </c>
    </row>
    <row r="22">
      <c r="A22" s="3" t="inlineStr">
        <is>
          <t>KPIs</t>
        </is>
      </c>
      <c r="B22" s="2" t="inlineStr">
        <is>
          <t>KPI tree with baselines from exhibits and suggested pilot / 2030 targets</t>
        </is>
      </c>
    </row>
    <row r="23">
      <c r="A23" s="3" t="inlineStr">
        <is>
          <t>Roadmap</t>
        </is>
      </c>
      <c r="B23" s="2" t="inlineStr">
        <is>
          <t>Phased 2026-2030 roadmap template across workstreams</t>
        </is>
      </c>
    </row>
    <row r="24">
      <c r="A24" s="3" t="inlineStr">
        <is>
          <t>Risks</t>
        </is>
      </c>
      <c r="B24" s="2" t="inlineStr">
        <is>
          <t>Risk register with mitigations, early-warning KPIs and evidence</t>
        </is>
      </c>
    </row>
    <row r="25">
      <c r="A25" s="3" t="inlineStr">
        <is>
          <t>QA_Bank</t>
        </is>
      </c>
      <c r="B25" s="2" t="inlineStr">
        <is>
          <t>15 likely judge questions with answer outline, evidence and owner</t>
        </is>
      </c>
    </row>
    <row r="27">
      <c r="A27" s="3" t="inlineStr">
        <is>
          <t>How to use</t>
        </is>
      </c>
    </row>
    <row r="28">
      <c r="A28" s="2" t="inlineStr">
        <is>
          <t>1. Day 1: type names in WBS, re-type every red cell in Exhibits from the PDF.</t>
        </is>
      </c>
    </row>
    <row r="29">
      <c r="A29" s="2" t="inlineStr">
        <is>
          <t>2. Day 2-3: re-score Ideation as a team, lock ONE integrated idea + one pilot area by end of Day 3.</t>
        </is>
      </c>
    </row>
    <row r="30">
      <c r="A30" s="2" t="inlineStr">
        <is>
          <t>3. Day 3-4: replace yellow assumptions with numbers you can defend (Assumptions column G shows benchmarks found so far).</t>
        </is>
      </c>
    </row>
    <row r="31">
      <c r="A31" s="2" t="inlineStr">
        <is>
          <t>4. Day 5: re-run run_tests.py so the Simulation tab matches your final assumptions.</t>
        </is>
      </c>
    </row>
    <row r="32">
      <c r="A32" s="2" t="inlineStr">
        <is>
          <t>5. Dashboard, Breakeven and Capability update automatically. Example values in yellow cells are placeholders,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workbookViewId="0">
      <pane xSplit="2" ySplit="12" topLeftCell="C1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46" customWidth="1" min="2" max="2"/>
    <col width="40" customWidth="1" min="3" max="3"/>
    <col width="8" customWidth="1" min="4" max="4"/>
    <col width="9" customWidth="1" min="5" max="5"/>
    <col width="7" customWidth="1" min="6" max="6"/>
    <col width="7" customWidth="1" min="7" max="7"/>
    <col width="7" customWidth="1" min="8" max="8"/>
    <col width="9" customWidth="1" min="9" max="9"/>
    <col width="13"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s>
  <sheetData>
    <row r="1">
      <c r="A1" s="1" t="inlineStr">
        <is>
          <t>Work breakdown structure: 7 days, 3 members</t>
        </is>
      </c>
    </row>
    <row r="2">
      <c r="A2" s="2" t="inlineStr">
        <is>
          <t>Type your names in the yellow cells. Owner = accountable (hours counted); Support = helps. Update Status daily in the stand-up. Daily load is red above 6.5 hours.</t>
        </is>
      </c>
    </row>
    <row r="4">
      <c r="A4" s="8" t="inlineStr">
        <is>
          <t>Code</t>
        </is>
      </c>
      <c r="B4" s="8" t="inlineStr">
        <is>
          <t>Name</t>
        </is>
      </c>
      <c r="C4" s="8" t="inlineStr">
        <is>
          <t>Role &amp; accountable for</t>
        </is>
      </c>
      <c r="D4" s="8" t="inlineStr">
        <is>
          <t>Hours owned</t>
        </is>
      </c>
      <c r="E4" s="8" t="inlineStr">
        <is>
          <t>Tasks owned</t>
        </is>
      </c>
      <c r="F4" s="8" t="inlineStr">
        <is>
          <t>Tasks done</t>
        </is>
      </c>
      <c r="G4" s="8" t="inlineStr"/>
      <c r="H4" s="8" t="inlineStr"/>
      <c r="I4" s="8" t="inlineStr"/>
      <c r="J4" s="8" t="inlineStr">
        <is>
          <t>Load (h/day)</t>
        </is>
      </c>
      <c r="K4" s="8" t="inlineStr">
        <is>
          <t>D1</t>
        </is>
      </c>
      <c r="L4" s="8" t="inlineStr">
        <is>
          <t>D2</t>
        </is>
      </c>
      <c r="M4" s="8" t="inlineStr">
        <is>
          <t>D3</t>
        </is>
      </c>
      <c r="N4" s="8" t="inlineStr">
        <is>
          <t>D4</t>
        </is>
      </c>
      <c r="O4" s="8" t="inlineStr">
        <is>
          <t>D5</t>
        </is>
      </c>
      <c r="P4" s="8" t="inlineStr">
        <is>
          <t>D6</t>
        </is>
      </c>
      <c r="Q4" s="8" t="inlineStr">
        <is>
          <t>D7</t>
        </is>
      </c>
    </row>
    <row r="5" ht="54" customHeight="1">
      <c r="A5" s="9" t="inlineStr">
        <is>
          <t>M1</t>
        </is>
      </c>
      <c r="B5" s="10" t="inlineStr">
        <is>
          <t>[Name M1]</t>
        </is>
      </c>
      <c r="C5" s="11" t="inlineStr">
        <is>
          <t>Lead, storyline &amp; people: Owns problem framing, vision, idea decision, mindset &amp; knowledge mechanism, governance, risks, exec summary, speaking script, mocks, submission</t>
        </is>
      </c>
      <c r="D5" s="12">
        <f>SUMIF($D$13:$D$70,A5,$H$13:$H$70)</f>
        <v/>
      </c>
      <c r="E5" s="11">
        <f>COUNTIF($D$13:$D$70,A5)</f>
        <v/>
      </c>
      <c r="F5" s="11">
        <f>COUNTIFS($D$13:$D$70,A5,$J$13:$J$70,"Done")</f>
        <v/>
      </c>
      <c r="J5" s="9" t="inlineStr">
        <is>
          <t>M1</t>
        </is>
      </c>
      <c r="K5" s="52">
        <f>SUMPRODUCT(($D$13:$D$70=$A5)*($F$13:$F$70&lt;=1)*($G$13:$G$70&gt;=1),$H$13:$H$70/($G$13:$G$70-$F$13:$F$70+1))</f>
        <v/>
      </c>
      <c r="L5" s="52">
        <f>SUMPRODUCT(($D$13:$D$70=$A5)*($F$13:$F$70&lt;=2)*($G$13:$G$70&gt;=2),$H$13:$H$70/($G$13:$G$70-$F$13:$F$70+1))</f>
        <v/>
      </c>
      <c r="M5" s="52">
        <f>SUMPRODUCT(($D$13:$D$70=$A5)*($F$13:$F$70&lt;=3)*($G$13:$G$70&gt;=3),$H$13:$H$70/($G$13:$G$70-$F$13:$F$70+1))</f>
        <v/>
      </c>
      <c r="N5" s="52">
        <f>SUMPRODUCT(($D$13:$D$70=$A5)*($F$13:$F$70&lt;=4)*($G$13:$G$70&gt;=4),$H$13:$H$70/($G$13:$G$70-$F$13:$F$70+1))</f>
        <v/>
      </c>
      <c r="O5" s="52">
        <f>SUMPRODUCT(($D$13:$D$70=$A5)*($F$13:$F$70&lt;=5)*($G$13:$G$70&gt;=5),$H$13:$H$70/($G$13:$G$70-$F$13:$F$70+1))</f>
        <v/>
      </c>
      <c r="P5" s="52">
        <f>SUMPRODUCT(($D$13:$D$70=$A5)*($F$13:$F$70&lt;=6)*($G$13:$G$70&gt;=6),$H$13:$H$70/($G$13:$G$70-$F$13:$F$70+1))</f>
        <v/>
      </c>
      <c r="Q5" s="52">
        <f>SUMPRODUCT(($D$13:$D$70=$A5)*($F$13:$F$70&lt;=7)*($G$13:$G$70&gt;=7),$H$13:$H$70/($G$13:$G$70-$F$13:$F$70+1))</f>
        <v/>
      </c>
    </row>
    <row r="6" ht="54" customHeight="1">
      <c r="A6" s="9" t="inlineStr">
        <is>
          <t>M2</t>
        </is>
      </c>
      <c r="B6" s="10" t="inlineStr">
        <is>
          <t>[Name M2]</t>
        </is>
      </c>
      <c r="C6" s="11" t="inlineStr">
        <is>
          <t>Operations, TPS &amp; roadmap: Owns gap heat map, root cause, system diagram, day-in-the-life, build-vs-partner, TPS fit, roadmap, slide template and design polish</t>
        </is>
      </c>
      <c r="D6" s="12">
        <f>SUMIF($D$13:$D$70,A6,$H$13:$H$70)</f>
        <v/>
      </c>
      <c r="E6" s="11">
        <f>COUNTIF($D$13:$D$70,A6)</f>
        <v/>
      </c>
      <c r="F6" s="11">
        <f>COUNTIFS($D$13:$D$70,A6,$J$13:$J$70,"Done")</f>
        <v/>
      </c>
      <c r="J6" s="9" t="inlineStr">
        <is>
          <t>M2</t>
        </is>
      </c>
      <c r="K6" s="52">
        <f>SUMPRODUCT(($D$13:$D$70=$A6)*($F$13:$F$70&lt;=1)*($G$13:$G$70&gt;=1),$H$13:$H$70/($G$13:$G$70-$F$13:$F$70+1))</f>
        <v/>
      </c>
      <c r="L6" s="52">
        <f>SUMPRODUCT(($D$13:$D$70=$A6)*($F$13:$F$70&lt;=2)*($G$13:$G$70&gt;=2),$H$13:$H$70/($G$13:$G$70-$F$13:$F$70+1))</f>
        <v/>
      </c>
      <c r="M6" s="52">
        <f>SUMPRODUCT(($D$13:$D$70=$A6)*($F$13:$F$70&lt;=3)*($G$13:$G$70&gt;=3),$H$13:$H$70/($G$13:$G$70-$F$13:$F$70+1))</f>
        <v/>
      </c>
      <c r="N6" s="52">
        <f>SUMPRODUCT(($D$13:$D$70=$A6)*($F$13:$F$70&lt;=4)*($G$13:$G$70&gt;=4),$H$13:$H$70/($G$13:$G$70-$F$13:$F$70+1))</f>
        <v/>
      </c>
      <c r="O6" s="52">
        <f>SUMPRODUCT(($D$13:$D$70=$A6)*($F$13:$F$70&lt;=5)*($G$13:$G$70&gt;=5),$H$13:$H$70/($G$13:$G$70-$F$13:$F$70+1))</f>
        <v/>
      </c>
      <c r="P6" s="52">
        <f>SUMPRODUCT(($D$13:$D$70=$A6)*($F$13:$F$70&lt;=6)*($G$13:$G$70&gt;=6),$H$13:$H$70/($G$13:$G$70-$F$13:$F$70+1))</f>
        <v/>
      </c>
      <c r="Q6" s="52">
        <f>SUMPRODUCT(($D$13:$D$70=$A6)*($F$13:$F$70&lt;=7)*($G$13:$G$70&gt;=7),$H$13:$H$70/($G$13:$G$70-$F$13:$F$70+1))</f>
        <v/>
      </c>
    </row>
    <row r="7" ht="54" customHeight="1">
      <c r="A7" s="9" t="inlineStr">
        <is>
          <t>M3</t>
        </is>
      </c>
      <c r="B7" s="10" t="inlineStr">
        <is>
          <t>[Name M3]</t>
        </is>
      </c>
      <c r="C7" s="11" t="inlineStr">
        <is>
          <t>Quant, finance &amp; evidence: Owns exhibits data, benchmarks, assumptions, Model, simulation re-runs, capability model, KPIs, appendix, number tie-out, Q&amp;A bank</t>
        </is>
      </c>
      <c r="D7" s="12">
        <f>SUMIF($D$13:$D$70,A7,$H$13:$H$70)</f>
        <v/>
      </c>
      <c r="E7" s="11">
        <f>COUNTIF($D$13:$D$70,A7)</f>
        <v/>
      </c>
      <c r="F7" s="11">
        <f>COUNTIFS($D$13:$D$70,A7,$J$13:$J$70,"Done")</f>
        <v/>
      </c>
      <c r="J7" s="9" t="inlineStr">
        <is>
          <t>M3</t>
        </is>
      </c>
      <c r="K7" s="52">
        <f>SUMPRODUCT(($D$13:$D$70=$A7)*($F$13:$F$70&lt;=1)*($G$13:$G$70&gt;=1),$H$13:$H$70/($G$13:$G$70-$F$13:$F$70+1))</f>
        <v/>
      </c>
      <c r="L7" s="52">
        <f>SUMPRODUCT(($D$13:$D$70=$A7)*($F$13:$F$70&lt;=2)*($G$13:$G$70&gt;=2),$H$13:$H$70/($G$13:$G$70-$F$13:$F$70+1))</f>
        <v/>
      </c>
      <c r="M7" s="52">
        <f>SUMPRODUCT(($D$13:$D$70=$A7)*($F$13:$F$70&lt;=3)*($G$13:$G$70&gt;=3),$H$13:$H$70/($G$13:$G$70-$F$13:$F$70+1))</f>
        <v/>
      </c>
      <c r="N7" s="52">
        <f>SUMPRODUCT(($D$13:$D$70=$A7)*($F$13:$F$70&lt;=4)*($G$13:$G$70&gt;=4),$H$13:$H$70/($G$13:$G$70-$F$13:$F$70+1))</f>
        <v/>
      </c>
      <c r="O7" s="52">
        <f>SUMPRODUCT(($D$13:$D$70=$A7)*($F$13:$F$70&lt;=5)*($G$13:$G$70&gt;=5),$H$13:$H$70/($G$13:$G$70-$F$13:$F$70+1))</f>
        <v/>
      </c>
      <c r="P7" s="52">
        <f>SUMPRODUCT(($D$13:$D$70=$A7)*($F$13:$F$70&lt;=6)*($G$13:$G$70&gt;=6),$H$13:$H$70/($G$13:$G$70-$F$13:$F$70+1))</f>
        <v/>
      </c>
      <c r="Q7" s="52">
        <f>SUMPRODUCT(($D$13:$D$70=$A7)*($F$13:$F$70&lt;=7)*($G$13:$G$70&gt;=7),$H$13:$H$70/($G$13:$G$70-$F$13:$F$70+1))</f>
        <v/>
      </c>
    </row>
    <row r="8">
      <c r="A8" s="3" t="inlineStr">
        <is>
          <t>Total</t>
        </is>
      </c>
      <c r="D8" s="14">
        <f>SUM(D5:D7)</f>
        <v/>
      </c>
      <c r="E8" s="3">
        <f>SUM(E5:E7)</f>
        <v/>
      </c>
      <c r="F8" s="3">
        <f>SUM(F5:F7)</f>
        <v/>
      </c>
      <c r="J8" s="3" t="inlineStr">
        <is>
          <t>Team</t>
        </is>
      </c>
      <c r="K8" s="53">
        <f>SUM(K5:K7)</f>
        <v/>
      </c>
      <c r="L8" s="53">
        <f>SUM(L5:L7)</f>
        <v/>
      </c>
      <c r="M8" s="53">
        <f>SUM(M5:M7)</f>
        <v/>
      </c>
      <c r="N8" s="53">
        <f>SUM(N5:N7)</f>
        <v/>
      </c>
      <c r="O8" s="53">
        <f>SUM(O5:O7)</f>
        <v/>
      </c>
      <c r="P8" s="53">
        <f>SUM(P5:P7)</f>
        <v/>
      </c>
      <c r="Q8" s="53">
        <f>SUM(Q5:Q7)</f>
        <v/>
      </c>
    </row>
    <row r="9">
      <c r="C9" s="2" t="inlineStr">
        <is>
          <t>Owned hours are balanced within ~4 h. Each member also supports others' tasks (Support column).</t>
        </is>
      </c>
    </row>
    <row r="12">
      <c r="A12" s="8" t="inlineStr">
        <is>
          <t>WBS</t>
        </is>
      </c>
      <c r="B12" s="8" t="inlineStr">
        <is>
          <t>Work package / task</t>
        </is>
      </c>
      <c r="C12" s="8" t="inlineStr">
        <is>
          <t>Deliverable &amp; done criteria</t>
        </is>
      </c>
      <c r="D12" s="8" t="inlineStr">
        <is>
          <t>Owner</t>
        </is>
      </c>
      <c r="E12" s="8" t="inlineStr">
        <is>
          <t>Support</t>
        </is>
      </c>
      <c r="F12" s="8" t="inlineStr">
        <is>
          <t>Start day</t>
        </is>
      </c>
      <c r="G12" s="8" t="inlineStr">
        <is>
          <t>End day</t>
        </is>
      </c>
      <c r="H12" s="8" t="inlineStr">
        <is>
          <t>Hours</t>
        </is>
      </c>
      <c r="I12" s="8" t="inlineStr">
        <is>
          <t>Depends on</t>
        </is>
      </c>
      <c r="J12" s="8" t="inlineStr">
        <is>
          <t>Status</t>
        </is>
      </c>
      <c r="K12" s="8" t="inlineStr">
        <is>
          <t>D1</t>
        </is>
      </c>
      <c r="L12" s="8" t="inlineStr">
        <is>
          <t>D2</t>
        </is>
      </c>
      <c r="M12" s="8" t="inlineStr">
        <is>
          <t>D3</t>
        </is>
      </c>
      <c r="N12" s="8" t="inlineStr">
        <is>
          <t>D4</t>
        </is>
      </c>
      <c r="O12" s="8" t="inlineStr">
        <is>
          <t>D5</t>
        </is>
      </c>
      <c r="P12" s="8" t="inlineStr">
        <is>
          <t>D6</t>
        </is>
      </c>
      <c r="Q12" s="8" t="inlineStr">
        <is>
          <t>D7</t>
        </is>
      </c>
    </row>
    <row r="13">
      <c r="A13" s="16" t="inlineStr">
        <is>
          <t>1</t>
        </is>
      </c>
      <c r="B13" s="16" t="inlineStr">
        <is>
          <t>PROJECT MANAGEMENT</t>
        </is>
      </c>
      <c r="C13" s="17" t="n"/>
      <c r="D13" s="17" t="n"/>
      <c r="E13" s="17" t="n"/>
      <c r="F13" s="18" t="n">
        <v>0</v>
      </c>
      <c r="G13" s="18" t="n">
        <v>0</v>
      </c>
      <c r="H13" s="17" t="n"/>
      <c r="I13" s="17" t="n"/>
      <c r="J13" s="17" t="n"/>
      <c r="K13" s="17" t="n"/>
      <c r="L13" s="17" t="n"/>
      <c r="M13" s="17" t="n"/>
      <c r="N13" s="17" t="n"/>
      <c r="O13" s="17" t="n"/>
      <c r="P13" s="17" t="n"/>
      <c r="Q13" s="17" t="n"/>
    </row>
    <row r="14" ht="30" customHeight="1">
      <c r="A14" s="11" t="inlineStr">
        <is>
          <t>1.1</t>
        </is>
      </c>
      <c r="B14" s="11" t="inlineStr">
        <is>
          <t>Kick-off: roles, deadline, shared drive, task tracker</t>
        </is>
      </c>
      <c r="C14" s="11" t="inlineStr">
        <is>
          <t>Roles agreed, folder + tracker live</t>
        </is>
      </c>
      <c r="D14" s="19" t="inlineStr">
        <is>
          <t>M1</t>
        </is>
      </c>
      <c r="E14" s="19" t="inlineStr">
        <is>
          <t>All</t>
        </is>
      </c>
      <c r="F14" s="19" t="n">
        <v>1</v>
      </c>
      <c r="G14" s="19" t="n">
        <v>1</v>
      </c>
      <c r="H14" s="19" t="n">
        <v>2</v>
      </c>
      <c r="I14" s="11" t="inlineStr"/>
      <c r="J14" s="10" t="inlineStr">
        <is>
          <t>Not started</t>
        </is>
      </c>
      <c r="K14" s="11">
        <f>IF(AND(1&gt;=$F14,1&lt;=$G14),$D14,"")</f>
        <v/>
      </c>
      <c r="L14" s="11">
        <f>IF(AND(2&gt;=$F14,2&lt;=$G14),$D14,"")</f>
        <v/>
      </c>
      <c r="M14" s="11">
        <f>IF(AND(3&gt;=$F14,3&lt;=$G14),$D14,"")</f>
        <v/>
      </c>
      <c r="N14" s="11">
        <f>IF(AND(4&gt;=$F14,4&lt;=$G14),$D14,"")</f>
        <v/>
      </c>
      <c r="O14" s="11">
        <f>IF(AND(5&gt;=$F14,5&lt;=$G14),$D14,"")</f>
        <v/>
      </c>
      <c r="P14" s="11">
        <f>IF(AND(6&gt;=$F14,6&lt;=$G14),$D14,"")</f>
        <v/>
      </c>
      <c r="Q14" s="11">
        <f>IF(AND(7&gt;=$F14,7&lt;=$G14),$D14,"")</f>
        <v/>
      </c>
    </row>
    <row r="15" ht="30" customHeight="1">
      <c r="A15" s="11" t="inlineStr">
        <is>
          <t>1.2</t>
        </is>
      </c>
      <c r="B15" s="11" t="inlineStr">
        <is>
          <t>Confirm rules in writing (slide limit, format, AI use, judging criteria)</t>
        </is>
      </c>
      <c r="C15" s="11" t="inlineStr">
        <is>
          <t>Written confirmation saved</t>
        </is>
      </c>
      <c r="D15" s="19" t="inlineStr">
        <is>
          <t>M1</t>
        </is>
      </c>
      <c r="E15" s="19" t="inlineStr"/>
      <c r="F15" s="19" t="n">
        <v>1</v>
      </c>
      <c r="G15" s="19" t="n">
        <v>1</v>
      </c>
      <c r="H15" s="19" t="n">
        <v>1</v>
      </c>
      <c r="I15" s="11" t="inlineStr"/>
      <c r="J15" s="10" t="inlineStr">
        <is>
          <t>Not started</t>
        </is>
      </c>
      <c r="K15" s="11">
        <f>IF(AND(1&gt;=$F15,1&lt;=$G15),$D15,"")</f>
        <v/>
      </c>
      <c r="L15" s="11">
        <f>IF(AND(2&gt;=$F15,2&lt;=$G15),$D15,"")</f>
        <v/>
      </c>
      <c r="M15" s="11">
        <f>IF(AND(3&gt;=$F15,3&lt;=$G15),$D15,"")</f>
        <v/>
      </c>
      <c r="N15" s="11">
        <f>IF(AND(4&gt;=$F15,4&lt;=$G15),$D15,"")</f>
        <v/>
      </c>
      <c r="O15" s="11">
        <f>IF(AND(5&gt;=$F15,5&lt;=$G15),$D15,"")</f>
        <v/>
      </c>
      <c r="P15" s="11">
        <f>IF(AND(6&gt;=$F15,6&lt;=$G15),$D15,"")</f>
        <v/>
      </c>
      <c r="Q15" s="11">
        <f>IF(AND(7&gt;=$F15,7&lt;=$G15),$D15,"")</f>
        <v/>
      </c>
    </row>
    <row r="16" ht="30" customHeight="1">
      <c r="A16" s="11" t="inlineStr">
        <is>
          <t>1.3</t>
        </is>
      </c>
      <c r="B16" s="11" t="inlineStr">
        <is>
          <t>Daily 15-min stand-up + update this sheet</t>
        </is>
      </c>
      <c r="C16" s="11" t="inlineStr">
        <is>
          <t>Status column current every evening</t>
        </is>
      </c>
      <c r="D16" s="19" t="inlineStr">
        <is>
          <t>M1</t>
        </is>
      </c>
      <c r="E16" s="19" t="inlineStr">
        <is>
          <t>All</t>
        </is>
      </c>
      <c r="F16" s="19" t="n">
        <v>1</v>
      </c>
      <c r="G16" s="19" t="n">
        <v>7</v>
      </c>
      <c r="H16" s="19" t="n">
        <v>2</v>
      </c>
      <c r="I16" s="11" t="inlineStr">
        <is>
          <t>1.1</t>
        </is>
      </c>
      <c r="J16" s="10" t="inlineStr">
        <is>
          <t>Not started</t>
        </is>
      </c>
      <c r="K16" s="11">
        <f>IF(AND(1&gt;=$F16,1&lt;=$G16),$D16,"")</f>
        <v/>
      </c>
      <c r="L16" s="11">
        <f>IF(AND(2&gt;=$F16,2&lt;=$G16),$D16,"")</f>
        <v/>
      </c>
      <c r="M16" s="11">
        <f>IF(AND(3&gt;=$F16,3&lt;=$G16),$D16,"")</f>
        <v/>
      </c>
      <c r="N16" s="11">
        <f>IF(AND(4&gt;=$F16,4&lt;=$G16),$D16,"")</f>
        <v/>
      </c>
      <c r="O16" s="11">
        <f>IF(AND(5&gt;=$F16,5&lt;=$G16),$D16,"")</f>
        <v/>
      </c>
      <c r="P16" s="11">
        <f>IF(AND(6&gt;=$F16,6&lt;=$G16),$D16,"")</f>
        <v/>
      </c>
      <c r="Q16" s="11">
        <f>IF(AND(7&gt;=$F16,7&lt;=$G16),$D16,"")</f>
        <v/>
      </c>
    </row>
    <row r="17">
      <c r="A17" s="16" t="inlineStr">
        <is>
          <t>2</t>
        </is>
      </c>
      <c r="B17" s="16" t="inlineStr">
        <is>
          <t>DIAGNOSE THE PROBLEM (SQ1)</t>
        </is>
      </c>
      <c r="C17" s="17" t="n"/>
      <c r="D17" s="17" t="n"/>
      <c r="E17" s="17" t="n"/>
      <c r="F17" s="18" t="n">
        <v>0</v>
      </c>
      <c r="G17" s="18" t="n">
        <v>0</v>
      </c>
      <c r="H17" s="17" t="n"/>
      <c r="I17" s="17" t="n"/>
      <c r="J17" s="17" t="n"/>
      <c r="K17" s="17" t="n"/>
      <c r="L17" s="17" t="n"/>
      <c r="M17" s="17" t="n"/>
      <c r="N17" s="17" t="n"/>
      <c r="O17" s="17" t="n"/>
      <c r="P17" s="17" t="n"/>
      <c r="Q17" s="17" t="n"/>
    </row>
    <row r="18" ht="30" customHeight="1">
      <c r="A18" s="11" t="inlineStr">
        <is>
          <t>2.1</t>
        </is>
      </c>
      <c r="B18" s="11" t="inlineStr">
        <is>
          <t>Re-type exhibits from PDF; clear all red cells</t>
        </is>
      </c>
      <c r="C18" s="11" t="inlineStr">
        <is>
          <t>Exhibits tab has zero VERIFY cells</t>
        </is>
      </c>
      <c r="D18" s="19" t="inlineStr">
        <is>
          <t>M3</t>
        </is>
      </c>
      <c r="E18" s="19" t="inlineStr">
        <is>
          <t>M2</t>
        </is>
      </c>
      <c r="F18" s="19" t="n">
        <v>1</v>
      </c>
      <c r="G18" s="19" t="n">
        <v>1</v>
      </c>
      <c r="H18" s="19" t="n">
        <v>2</v>
      </c>
      <c r="I18" s="11" t="inlineStr"/>
      <c r="J18" s="10" t="inlineStr">
        <is>
          <t>Not started</t>
        </is>
      </c>
      <c r="K18" s="11">
        <f>IF(AND(1&gt;=$F18,1&lt;=$G18),$D18,"")</f>
        <v/>
      </c>
      <c r="L18" s="11">
        <f>IF(AND(2&gt;=$F18,2&lt;=$G18),$D18,"")</f>
        <v/>
      </c>
      <c r="M18" s="11">
        <f>IF(AND(3&gt;=$F18,3&lt;=$G18),$D18,"")</f>
        <v/>
      </c>
      <c r="N18" s="11">
        <f>IF(AND(4&gt;=$F18,4&lt;=$G18),$D18,"")</f>
        <v/>
      </c>
      <c r="O18" s="11">
        <f>IF(AND(5&gt;=$F18,5&lt;=$G18),$D18,"")</f>
        <v/>
      </c>
      <c r="P18" s="11">
        <f>IF(AND(6&gt;=$F18,6&lt;=$G18),$D18,"")</f>
        <v/>
      </c>
      <c r="Q18" s="11">
        <f>IF(AND(7&gt;=$F18,7&lt;=$G18),$D18,"")</f>
        <v/>
      </c>
    </row>
    <row r="19" ht="30" customHeight="1">
      <c r="A19" s="11" t="inlineStr">
        <is>
          <t>2.2</t>
        </is>
      </c>
      <c r="B19" s="11" t="inlineStr">
        <is>
          <t>Issue tree + problem statement</t>
        </is>
      </c>
      <c r="C19" s="11" t="inlineStr">
        <is>
          <t>1-page issue tree, MECE, agreed by team</t>
        </is>
      </c>
      <c r="D19" s="19" t="inlineStr">
        <is>
          <t>M1</t>
        </is>
      </c>
      <c r="E19" s="19" t="inlineStr">
        <is>
          <t>All</t>
        </is>
      </c>
      <c r="F19" s="19" t="n">
        <v>1</v>
      </c>
      <c r="G19" s="19" t="n">
        <v>1</v>
      </c>
      <c r="H19" s="19" t="n">
        <v>3</v>
      </c>
      <c r="I19" s="11" t="inlineStr">
        <is>
          <t>2.1</t>
        </is>
      </c>
      <c r="J19" s="10" t="inlineStr">
        <is>
          <t>Not started</t>
        </is>
      </c>
      <c r="K19" s="11">
        <f>IF(AND(1&gt;=$F19,1&lt;=$G19),$D19,"")</f>
        <v/>
      </c>
      <c r="L19" s="11">
        <f>IF(AND(2&gt;=$F19,2&lt;=$G19),$D19,"")</f>
        <v/>
      </c>
      <c r="M19" s="11">
        <f>IF(AND(3&gt;=$F19,3&lt;=$G19),$D19,"")</f>
        <v/>
      </c>
      <c r="N19" s="11">
        <f>IF(AND(4&gt;=$F19,4&lt;=$G19),$D19,"")</f>
        <v/>
      </c>
      <c r="O19" s="11">
        <f>IF(AND(5&gt;=$F19,5&lt;=$G19),$D19,"")</f>
        <v/>
      </c>
      <c r="P19" s="11">
        <f>IF(AND(6&gt;=$F19,6&lt;=$G19),$D19,"")</f>
        <v/>
      </c>
      <c r="Q19" s="11">
        <f>IF(AND(7&gt;=$F19,7&lt;=$G19),$D19,"")</f>
        <v/>
      </c>
    </row>
    <row r="20" ht="30" customHeight="1">
      <c r="A20" s="11" t="inlineStr">
        <is>
          <t>2.3</t>
        </is>
      </c>
      <c r="B20" s="11" t="inlineStr">
        <is>
          <t>Gap heat map: process x cost/quality impact</t>
        </is>
      </c>
      <c r="C20" s="11" t="inlineStr">
        <is>
          <t>Heat map slide using Exhibits 4-5</t>
        </is>
      </c>
      <c r="D20" s="19" t="inlineStr">
        <is>
          <t>M2</t>
        </is>
      </c>
      <c r="E20" s="19" t="inlineStr">
        <is>
          <t>M3</t>
        </is>
      </c>
      <c r="F20" s="19" t="n">
        <v>1</v>
      </c>
      <c r="G20" s="19" t="n">
        <v>2</v>
      </c>
      <c r="H20" s="19" t="n">
        <v>4</v>
      </c>
      <c r="I20" s="11" t="inlineStr">
        <is>
          <t>2.1</t>
        </is>
      </c>
      <c r="J20" s="10" t="inlineStr">
        <is>
          <t>Not started</t>
        </is>
      </c>
      <c r="K20" s="11">
        <f>IF(AND(1&gt;=$F20,1&lt;=$G20),$D20,"")</f>
        <v/>
      </c>
      <c r="L20" s="11">
        <f>IF(AND(2&gt;=$F20,2&lt;=$G20),$D20,"")</f>
        <v/>
      </c>
      <c r="M20" s="11">
        <f>IF(AND(3&gt;=$F20,3&lt;=$G20),$D20,"")</f>
        <v/>
      </c>
      <c r="N20" s="11">
        <f>IF(AND(4&gt;=$F20,4&lt;=$G20),$D20,"")</f>
        <v/>
      </c>
      <c r="O20" s="11">
        <f>IF(AND(5&gt;=$F20,5&lt;=$G20),$D20,"")</f>
        <v/>
      </c>
      <c r="P20" s="11">
        <f>IF(AND(6&gt;=$F20,6&lt;=$G20),$D20,"")</f>
        <v/>
      </c>
      <c r="Q20" s="11">
        <f>IF(AND(7&gt;=$F20,7&lt;=$G20),$D20,"")</f>
        <v/>
      </c>
    </row>
    <row r="21" ht="30" customHeight="1">
      <c r="A21" s="11" t="inlineStr">
        <is>
          <t>2.4</t>
        </is>
      </c>
      <c r="B21" s="11" t="inlineStr">
        <is>
          <t>Root cause (5-whys / fishbone) on the 3 complications</t>
        </is>
      </c>
      <c r="C21" s="11" t="inlineStr">
        <is>
          <t>Root-cause slide: 'open loops'</t>
        </is>
      </c>
      <c r="D21" s="19" t="inlineStr">
        <is>
          <t>M2</t>
        </is>
      </c>
      <c r="E21" s="19" t="inlineStr">
        <is>
          <t>M1</t>
        </is>
      </c>
      <c r="F21" s="19" t="n">
        <v>2</v>
      </c>
      <c r="G21" s="19" t="n">
        <v>2</v>
      </c>
      <c r="H21" s="19" t="n">
        <v>3</v>
      </c>
      <c r="I21" s="11" t="inlineStr">
        <is>
          <t>2.2</t>
        </is>
      </c>
      <c r="J21" s="10" t="inlineStr">
        <is>
          <t>Not started</t>
        </is>
      </c>
      <c r="K21" s="11">
        <f>IF(AND(1&gt;=$F21,1&lt;=$G21),$D21,"")</f>
        <v/>
      </c>
      <c r="L21" s="11">
        <f>IF(AND(2&gt;=$F21,2&lt;=$G21),$D21,"")</f>
        <v/>
      </c>
      <c r="M21" s="11">
        <f>IF(AND(3&gt;=$F21,3&lt;=$G21),$D21,"")</f>
        <v/>
      </c>
      <c r="N21" s="11">
        <f>IF(AND(4&gt;=$F21,4&lt;=$G21),$D21,"")</f>
        <v/>
      </c>
      <c r="O21" s="11">
        <f>IF(AND(5&gt;=$F21,5&lt;=$G21),$D21,"")</f>
        <v/>
      </c>
      <c r="P21" s="11">
        <f>IF(AND(6&gt;=$F21,6&lt;=$G21),$D21,"")</f>
        <v/>
      </c>
      <c r="Q21" s="11">
        <f>IF(AND(7&gt;=$F21,7&lt;=$G21),$D21,"")</f>
        <v/>
      </c>
    </row>
    <row r="22" ht="30" customHeight="1">
      <c r="A22" s="11" t="inlineStr">
        <is>
          <t>2.5</t>
        </is>
      </c>
      <c r="B22" s="11" t="inlineStr">
        <is>
          <t>Benchmark research: Toyota precedents + lever benchmarks</t>
        </is>
      </c>
      <c r="C22" s="11" t="inlineStr">
        <is>
          <t>Ideation refs + Assumptions col G complete</t>
        </is>
      </c>
      <c r="D22" s="19" t="inlineStr">
        <is>
          <t>M3</t>
        </is>
      </c>
      <c r="E22" s="19" t="inlineStr">
        <is>
          <t>M2</t>
        </is>
      </c>
      <c r="F22" s="19" t="n">
        <v>2</v>
      </c>
      <c r="G22" s="19" t="n">
        <v>3</v>
      </c>
      <c r="H22" s="19" t="n">
        <v>4</v>
      </c>
      <c r="I22" s="11" t="inlineStr"/>
      <c r="J22" s="10" t="inlineStr">
        <is>
          <t>Not started</t>
        </is>
      </c>
      <c r="K22" s="11">
        <f>IF(AND(1&gt;=$F22,1&lt;=$G22),$D22,"")</f>
        <v/>
      </c>
      <c r="L22" s="11">
        <f>IF(AND(2&gt;=$F22,2&lt;=$G22),$D22,"")</f>
        <v/>
      </c>
      <c r="M22" s="11">
        <f>IF(AND(3&gt;=$F22,3&lt;=$G22),$D22,"")</f>
        <v/>
      </c>
      <c r="N22" s="11">
        <f>IF(AND(4&gt;=$F22,4&lt;=$G22),$D22,"")</f>
        <v/>
      </c>
      <c r="O22" s="11">
        <f>IF(AND(5&gt;=$F22,5&lt;=$G22),$D22,"")</f>
        <v/>
      </c>
      <c r="P22" s="11">
        <f>IF(AND(6&gt;=$F22,6&lt;=$G22),$D22,"")</f>
        <v/>
      </c>
      <c r="Q22" s="11">
        <f>IF(AND(7&gt;=$F22,7&lt;=$G22),$D22,"")</f>
        <v/>
      </c>
    </row>
    <row r="23" ht="30" customHeight="1">
      <c r="A23" s="11" t="inlineStr">
        <is>
          <t>2.6</t>
        </is>
      </c>
      <c r="B23" s="11" t="inlineStr">
        <is>
          <t>2030 vision + 'value beyond cost' statement</t>
        </is>
      </c>
      <c r="C23" s="11" t="inlineStr">
        <is>
          <t>Vision slide draft</t>
        </is>
      </c>
      <c r="D23" s="19" t="inlineStr">
        <is>
          <t>M1</t>
        </is>
      </c>
      <c r="E23" s="19" t="inlineStr">
        <is>
          <t>M2</t>
        </is>
      </c>
      <c r="F23" s="19" t="n">
        <v>2</v>
      </c>
      <c r="G23" s="19" t="n">
        <v>2</v>
      </c>
      <c r="H23" s="19" t="n">
        <v>2</v>
      </c>
      <c r="I23" s="11" t="inlineStr">
        <is>
          <t>2.3</t>
        </is>
      </c>
      <c r="J23" s="10" t="inlineStr">
        <is>
          <t>Not started</t>
        </is>
      </c>
      <c r="K23" s="11">
        <f>IF(AND(1&gt;=$F23,1&lt;=$G23),$D23,"")</f>
        <v/>
      </c>
      <c r="L23" s="11">
        <f>IF(AND(2&gt;=$F23,2&lt;=$G23),$D23,"")</f>
        <v/>
      </c>
      <c r="M23" s="11">
        <f>IF(AND(3&gt;=$F23,3&lt;=$G23),$D23,"")</f>
        <v/>
      </c>
      <c r="N23" s="11">
        <f>IF(AND(4&gt;=$F23,4&lt;=$G23),$D23,"")</f>
        <v/>
      </c>
      <c r="O23" s="11">
        <f>IF(AND(5&gt;=$F23,5&lt;=$G23),$D23,"")</f>
        <v/>
      </c>
      <c r="P23" s="11">
        <f>IF(AND(6&gt;=$F23,6&lt;=$G23),$D23,"")</f>
        <v/>
      </c>
      <c r="Q23" s="11">
        <f>IF(AND(7&gt;=$F23,7&lt;=$G23),$D23,"")</f>
        <v/>
      </c>
    </row>
    <row r="24">
      <c r="A24" s="16" t="inlineStr">
        <is>
          <t>3</t>
        </is>
      </c>
      <c r="B24" s="16" t="inlineStr">
        <is>
          <t>DESIGN THE IDEA (SQ2)</t>
        </is>
      </c>
      <c r="C24" s="17" t="n"/>
      <c r="D24" s="17" t="n"/>
      <c r="E24" s="17" t="n"/>
      <c r="F24" s="18" t="n">
        <v>0</v>
      </c>
      <c r="G24" s="18" t="n">
        <v>0</v>
      </c>
      <c r="H24" s="17" t="n"/>
      <c r="I24" s="17" t="n"/>
      <c r="J24" s="17" t="n"/>
      <c r="K24" s="17" t="n"/>
      <c r="L24" s="17" t="n"/>
      <c r="M24" s="17" t="n"/>
      <c r="N24" s="17" t="n"/>
      <c r="O24" s="17" t="n"/>
      <c r="P24" s="17" t="n"/>
      <c r="Q24" s="17" t="n"/>
    </row>
    <row r="25" ht="30" customHeight="1">
      <c r="A25" s="11" t="inlineStr">
        <is>
          <t>3.1</t>
        </is>
      </c>
      <c r="B25" s="11" t="inlineStr">
        <is>
          <t>Ideation session: re-score 8 options as a team</t>
        </is>
      </c>
      <c r="C25" s="11" t="inlineStr">
        <is>
          <t>Scoring matrix updated with team scores</t>
        </is>
      </c>
      <c r="D25" s="19" t="inlineStr">
        <is>
          <t>M1</t>
        </is>
      </c>
      <c r="E25" s="19" t="inlineStr">
        <is>
          <t>All</t>
        </is>
      </c>
      <c r="F25" s="19" t="n">
        <v>3</v>
      </c>
      <c r="G25" s="19" t="n">
        <v>3</v>
      </c>
      <c r="H25" s="19" t="n">
        <v>2</v>
      </c>
      <c r="I25" s="11" t="inlineStr">
        <is>
          <t>2.4</t>
        </is>
      </c>
      <c r="J25" s="10" t="inlineStr">
        <is>
          <t>Not started</t>
        </is>
      </c>
      <c r="K25" s="11">
        <f>IF(AND(1&gt;=$F25,1&lt;=$G25),$D25,"")</f>
        <v/>
      </c>
      <c r="L25" s="11">
        <f>IF(AND(2&gt;=$F25,2&lt;=$G25),$D25,"")</f>
        <v/>
      </c>
      <c r="M25" s="11">
        <f>IF(AND(3&gt;=$F25,3&lt;=$G25),$D25,"")</f>
        <v/>
      </c>
      <c r="N25" s="11">
        <f>IF(AND(4&gt;=$F25,4&lt;=$G25),$D25,"")</f>
        <v/>
      </c>
      <c r="O25" s="11">
        <f>IF(AND(5&gt;=$F25,5&lt;=$G25),$D25,"")</f>
        <v/>
      </c>
      <c r="P25" s="11">
        <f>IF(AND(6&gt;=$F25,6&lt;=$G25),$D25,"")</f>
        <v/>
      </c>
      <c r="Q25" s="11">
        <f>IF(AND(7&gt;=$F25,7&lt;=$G25),$D25,"")</f>
        <v/>
      </c>
    </row>
    <row r="26" ht="30" customHeight="1">
      <c r="A26" s="11" t="inlineStr">
        <is>
          <t>3.2</t>
        </is>
      </c>
      <c r="B26" s="11" t="inlineStr">
        <is>
          <t>Decide integrated idea + pilot area (decision log)</t>
        </is>
      </c>
      <c r="C26" s="11" t="inlineStr">
        <is>
          <t>One-line decision + 3 reasons</t>
        </is>
      </c>
      <c r="D26" s="19" t="inlineStr">
        <is>
          <t>M1</t>
        </is>
      </c>
      <c r="E26" s="19" t="inlineStr">
        <is>
          <t>All</t>
        </is>
      </c>
      <c r="F26" s="19" t="n">
        <v>3</v>
      </c>
      <c r="G26" s="19" t="n">
        <v>3</v>
      </c>
      <c r="H26" s="19" t="n">
        <v>1</v>
      </c>
      <c r="I26" s="11" t="inlineStr">
        <is>
          <t>3.1</t>
        </is>
      </c>
      <c r="J26" s="10" t="inlineStr">
        <is>
          <t>Not started</t>
        </is>
      </c>
      <c r="K26" s="11">
        <f>IF(AND(1&gt;=$F26,1&lt;=$G26),$D26,"")</f>
        <v/>
      </c>
      <c r="L26" s="11">
        <f>IF(AND(2&gt;=$F26,2&lt;=$G26),$D26,"")</f>
        <v/>
      </c>
      <c r="M26" s="11">
        <f>IF(AND(3&gt;=$F26,3&lt;=$G26),$D26,"")</f>
        <v/>
      </c>
      <c r="N26" s="11">
        <f>IF(AND(4&gt;=$F26,4&lt;=$G26),$D26,"")</f>
        <v/>
      </c>
      <c r="O26" s="11">
        <f>IF(AND(5&gt;=$F26,5&lt;=$G26),$D26,"")</f>
        <v/>
      </c>
      <c r="P26" s="11">
        <f>IF(AND(6&gt;=$F26,6&lt;=$G26),$D26,"")</f>
        <v/>
      </c>
      <c r="Q26" s="11">
        <f>IF(AND(7&gt;=$F26,7&lt;=$G26),$D26,"")</f>
        <v/>
      </c>
    </row>
    <row r="27" ht="30" customHeight="1">
      <c r="A27" s="11" t="inlineStr">
        <is>
          <t>3.3</t>
        </is>
      </c>
      <c r="B27" s="11" t="inlineStr">
        <is>
          <t>System diagram: three closed loops</t>
        </is>
      </c>
      <c r="C27" s="11" t="inlineStr">
        <is>
          <t>One clean diagram, reviewed by all</t>
        </is>
      </c>
      <c r="D27" s="19" t="inlineStr">
        <is>
          <t>M2</t>
        </is>
      </c>
      <c r="E27" s="19" t="inlineStr">
        <is>
          <t>M1</t>
        </is>
      </c>
      <c r="F27" s="19" t="n">
        <v>3</v>
      </c>
      <c r="G27" s="19" t="n">
        <v>3</v>
      </c>
      <c r="H27" s="19" t="n">
        <v>3</v>
      </c>
      <c r="I27" s="11" t="inlineStr">
        <is>
          <t>3.2</t>
        </is>
      </c>
      <c r="J27" s="10" t="inlineStr">
        <is>
          <t>Not started</t>
        </is>
      </c>
      <c r="K27" s="11">
        <f>IF(AND(1&gt;=$F27,1&lt;=$G27),$D27,"")</f>
        <v/>
      </c>
      <c r="L27" s="11">
        <f>IF(AND(2&gt;=$F27,2&lt;=$G27),$D27,"")</f>
        <v/>
      </c>
      <c r="M27" s="11">
        <f>IF(AND(3&gt;=$F27,3&lt;=$G27),$D27,"")</f>
        <v/>
      </c>
      <c r="N27" s="11">
        <f>IF(AND(4&gt;=$F27,4&lt;=$G27),$D27,"")</f>
        <v/>
      </c>
      <c r="O27" s="11">
        <f>IF(AND(5&gt;=$F27,5&lt;=$G27),$D27,"")</f>
        <v/>
      </c>
      <c r="P27" s="11">
        <f>IF(AND(6&gt;=$F27,6&lt;=$G27),$D27,"")</f>
        <v/>
      </c>
      <c r="Q27" s="11">
        <f>IF(AND(7&gt;=$F27,7&lt;=$G27),$D27,"")</f>
        <v/>
      </c>
    </row>
    <row r="28" ht="30" customHeight="1">
      <c r="A28" s="11" t="inlineStr">
        <is>
          <t>3.4</t>
        </is>
      </c>
      <c r="B28" s="11" t="inlineStr">
        <is>
          <t>Day-in-the-life before/after (operator, team leader, engineer)</t>
        </is>
      </c>
      <c r="C28" s="11" t="inlineStr">
        <is>
          <t>Before/after slide</t>
        </is>
      </c>
      <c r="D28" s="19" t="inlineStr">
        <is>
          <t>M2</t>
        </is>
      </c>
      <c r="E28" s="19" t="inlineStr">
        <is>
          <t>M1</t>
        </is>
      </c>
      <c r="F28" s="19" t="n">
        <v>4</v>
      </c>
      <c r="G28" s="19" t="n">
        <v>4</v>
      </c>
      <c r="H28" s="19" t="n">
        <v>3</v>
      </c>
      <c r="I28" s="11" t="inlineStr">
        <is>
          <t>3.2</t>
        </is>
      </c>
      <c r="J28" s="10" t="inlineStr">
        <is>
          <t>Not started</t>
        </is>
      </c>
      <c r="K28" s="11">
        <f>IF(AND(1&gt;=$F28,1&lt;=$G28),$D28,"")</f>
        <v/>
      </c>
      <c r="L28" s="11">
        <f>IF(AND(2&gt;=$F28,2&lt;=$G28),$D28,"")</f>
        <v/>
      </c>
      <c r="M28" s="11">
        <f>IF(AND(3&gt;=$F28,3&lt;=$G28),$D28,"")</f>
        <v/>
      </c>
      <c r="N28" s="11">
        <f>IF(AND(4&gt;=$F28,4&lt;=$G28),$D28,"")</f>
        <v/>
      </c>
      <c r="O28" s="11">
        <f>IF(AND(5&gt;=$F28,5&lt;=$G28),$D28,"")</f>
        <v/>
      </c>
      <c r="P28" s="11">
        <f>IF(AND(6&gt;=$F28,6&lt;=$G28),$D28,"")</f>
        <v/>
      </c>
      <c r="Q28" s="11">
        <f>IF(AND(7&gt;=$F28,7&lt;=$G28),$D28,"")</f>
        <v/>
      </c>
    </row>
    <row r="29" ht="30" customHeight="1">
      <c r="A29" s="11" t="inlineStr">
        <is>
          <t>3.5</t>
        </is>
      </c>
      <c r="B29" s="11" t="inlineStr">
        <is>
          <t>Mindset &amp; knowledge mechanism (idea channel, capture, recognition)</t>
        </is>
      </c>
      <c r="C29" s="11" t="inlineStr">
        <is>
          <t>Mechanism slide tied to Exhibits 6A/6B</t>
        </is>
      </c>
      <c r="D29" s="19" t="inlineStr">
        <is>
          <t>M1</t>
        </is>
      </c>
      <c r="E29" s="19" t="inlineStr">
        <is>
          <t>M2</t>
        </is>
      </c>
      <c r="F29" s="19" t="n">
        <v>4</v>
      </c>
      <c r="G29" s="19" t="n">
        <v>4</v>
      </c>
      <c r="H29" s="19" t="n">
        <v>3</v>
      </c>
      <c r="I29" s="11" t="inlineStr">
        <is>
          <t>3.2</t>
        </is>
      </c>
      <c r="J29" s="10" t="inlineStr">
        <is>
          <t>Not started</t>
        </is>
      </c>
      <c r="K29" s="11">
        <f>IF(AND(1&gt;=$F29,1&lt;=$G29),$D29,"")</f>
        <v/>
      </c>
      <c r="L29" s="11">
        <f>IF(AND(2&gt;=$F29,2&lt;=$G29),$D29,"")</f>
        <v/>
      </c>
      <c r="M29" s="11">
        <f>IF(AND(3&gt;=$F29,3&lt;=$G29),$D29,"")</f>
        <v/>
      </c>
      <c r="N29" s="11">
        <f>IF(AND(4&gt;=$F29,4&lt;=$G29),$D29,"")</f>
        <v/>
      </c>
      <c r="O29" s="11">
        <f>IF(AND(5&gt;=$F29,5&lt;=$G29),$D29,"")</f>
        <v/>
      </c>
      <c r="P29" s="11">
        <f>IF(AND(6&gt;=$F29,6&lt;=$G29),$D29,"")</f>
        <v/>
      </c>
      <c r="Q29" s="11">
        <f>IF(AND(7&gt;=$F29,7&lt;=$G29),$D29,"")</f>
        <v/>
      </c>
    </row>
    <row r="30" ht="30" customHeight="1">
      <c r="A30" s="11" t="inlineStr">
        <is>
          <t>3.6</t>
        </is>
      </c>
      <c r="B30" s="11" t="inlineStr">
        <is>
          <t>Build vs partner logic per component</t>
        </is>
      </c>
      <c r="C30" s="11" t="inlineStr">
        <is>
          <t>2x2 or table slide</t>
        </is>
      </c>
      <c r="D30" s="19" t="inlineStr">
        <is>
          <t>M2</t>
        </is>
      </c>
      <c r="E30" s="19" t="inlineStr">
        <is>
          <t>M3</t>
        </is>
      </c>
      <c r="F30" s="19" t="n">
        <v>4</v>
      </c>
      <c r="G30" s="19" t="n">
        <v>5</v>
      </c>
      <c r="H30" s="19" t="n">
        <v>2</v>
      </c>
      <c r="I30" s="11" t="inlineStr">
        <is>
          <t>3.2</t>
        </is>
      </c>
      <c r="J30" s="10" t="inlineStr">
        <is>
          <t>Not started</t>
        </is>
      </c>
      <c r="K30" s="11">
        <f>IF(AND(1&gt;=$F30,1&lt;=$G30),$D30,"")</f>
        <v/>
      </c>
      <c r="L30" s="11">
        <f>IF(AND(2&gt;=$F30,2&lt;=$G30),$D30,"")</f>
        <v/>
      </c>
      <c r="M30" s="11">
        <f>IF(AND(3&gt;=$F30,3&lt;=$G30),$D30,"")</f>
        <v/>
      </c>
      <c r="N30" s="11">
        <f>IF(AND(4&gt;=$F30,4&lt;=$G30),$D30,"")</f>
        <v/>
      </c>
      <c r="O30" s="11">
        <f>IF(AND(5&gt;=$F30,5&lt;=$G30),$D30,"")</f>
        <v/>
      </c>
      <c r="P30" s="11">
        <f>IF(AND(6&gt;=$F30,6&lt;=$G30),$D30,"")</f>
        <v/>
      </c>
      <c r="Q30" s="11">
        <f>IF(AND(7&gt;=$F30,7&lt;=$G30),$D30,"")</f>
        <v/>
      </c>
    </row>
    <row r="31" ht="30" customHeight="1">
      <c r="A31" s="11" t="inlineStr">
        <is>
          <t>3.7</t>
        </is>
      </c>
      <c r="B31" s="11" t="inlineStr">
        <is>
          <t>TPS principle mapping (jidoka, kaizen, standardized work, yokoten)</t>
        </is>
      </c>
      <c r="C31" s="11" t="inlineStr">
        <is>
          <t>Mapping table</t>
        </is>
      </c>
      <c r="D31" s="19" t="inlineStr">
        <is>
          <t>M2</t>
        </is>
      </c>
      <c r="E31" s="19" t="inlineStr"/>
      <c r="F31" s="19" t="n">
        <v>3</v>
      </c>
      <c r="G31" s="19" t="n">
        <v>3</v>
      </c>
      <c r="H31" s="19" t="n">
        <v>1</v>
      </c>
      <c r="I31" s="11" t="inlineStr">
        <is>
          <t>3.3</t>
        </is>
      </c>
      <c r="J31" s="10" t="inlineStr">
        <is>
          <t>Not started</t>
        </is>
      </c>
      <c r="K31" s="11">
        <f>IF(AND(1&gt;=$F31,1&lt;=$G31),$D31,"")</f>
        <v/>
      </c>
      <c r="L31" s="11">
        <f>IF(AND(2&gt;=$F31,2&lt;=$G31),$D31,"")</f>
        <v/>
      </c>
      <c r="M31" s="11">
        <f>IF(AND(3&gt;=$F31,3&lt;=$G31),$D31,"")</f>
        <v/>
      </c>
      <c r="N31" s="11">
        <f>IF(AND(4&gt;=$F31,4&lt;=$G31),$D31,"")</f>
        <v/>
      </c>
      <c r="O31" s="11">
        <f>IF(AND(5&gt;=$F31,5&lt;=$G31),$D31,"")</f>
        <v/>
      </c>
      <c r="P31" s="11">
        <f>IF(AND(6&gt;=$F31,6&lt;=$G31),$D31,"")</f>
        <v/>
      </c>
      <c r="Q31" s="11">
        <f>IF(AND(7&gt;=$F31,7&lt;=$G31),$D31,"")</f>
        <v/>
      </c>
    </row>
    <row r="32">
      <c r="A32" s="16" t="inlineStr">
        <is>
          <t>4</t>
        </is>
      </c>
      <c r="B32" s="16" t="inlineStr">
        <is>
          <t>ROADMAP &amp; CAPABILITY (SQ3)</t>
        </is>
      </c>
      <c r="C32" s="17" t="n"/>
      <c r="D32" s="17" t="n"/>
      <c r="E32" s="17" t="n"/>
      <c r="F32" s="18" t="n">
        <v>0</v>
      </c>
      <c r="G32" s="18" t="n">
        <v>0</v>
      </c>
      <c r="H32" s="17" t="n"/>
      <c r="I32" s="17" t="n"/>
      <c r="J32" s="17" t="n"/>
      <c r="K32" s="17" t="n"/>
      <c r="L32" s="17" t="n"/>
      <c r="M32" s="17" t="n"/>
      <c r="N32" s="17" t="n"/>
      <c r="O32" s="17" t="n"/>
      <c r="P32" s="17" t="n"/>
      <c r="Q32" s="17" t="n"/>
    </row>
    <row r="33" ht="30" customHeight="1">
      <c r="A33" s="11" t="inlineStr">
        <is>
          <t>4.1</t>
        </is>
      </c>
      <c r="B33" s="11" t="inlineStr">
        <is>
          <t>Phased roadmap with gates (pilot-light)</t>
        </is>
      </c>
      <c r="C33" s="11" t="inlineStr">
        <is>
          <t>Roadmap slide with gate criteria</t>
        </is>
      </c>
      <c r="D33" s="19" t="inlineStr">
        <is>
          <t>M2</t>
        </is>
      </c>
      <c r="E33" s="19" t="inlineStr">
        <is>
          <t>M3</t>
        </is>
      </c>
      <c r="F33" s="19" t="n">
        <v>4</v>
      </c>
      <c r="G33" s="19" t="n">
        <v>5</v>
      </c>
      <c r="H33" s="19" t="n">
        <v>3</v>
      </c>
      <c r="I33" s="11" t="inlineStr">
        <is>
          <t>3.2</t>
        </is>
      </c>
      <c r="J33" s="10" t="inlineStr">
        <is>
          <t>Not started</t>
        </is>
      </c>
      <c r="K33" s="11">
        <f>IF(AND(1&gt;=$F33,1&lt;=$G33),$D33,"")</f>
        <v/>
      </c>
      <c r="L33" s="11">
        <f>IF(AND(2&gt;=$F33,2&lt;=$G33),$D33,"")</f>
        <v/>
      </c>
      <c r="M33" s="11">
        <f>IF(AND(3&gt;=$F33,3&lt;=$G33),$D33,"")</f>
        <v/>
      </c>
      <c r="N33" s="11">
        <f>IF(AND(4&gt;=$F33,4&lt;=$G33),$D33,"")</f>
        <v/>
      </c>
      <c r="O33" s="11">
        <f>IF(AND(5&gt;=$F33,5&lt;=$G33),$D33,"")</f>
        <v/>
      </c>
      <c r="P33" s="11">
        <f>IF(AND(6&gt;=$F33,6&lt;=$G33),$D33,"")</f>
        <v/>
      </c>
      <c r="Q33" s="11">
        <f>IF(AND(7&gt;=$F33,7&lt;=$G33),$D33,"")</f>
        <v/>
      </c>
    </row>
    <row r="34" ht="30" customHeight="1">
      <c r="A34" s="11" t="inlineStr">
        <is>
          <t>4.2</t>
        </is>
      </c>
      <c r="B34" s="11" t="inlineStr">
        <is>
          <t>Capability plan using Capability tab</t>
        </is>
      </c>
      <c r="C34" s="11" t="inlineStr">
        <is>
          <t>Academy design + L3+ targets consistent with KPIs</t>
        </is>
      </c>
      <c r="D34" s="19" t="inlineStr">
        <is>
          <t>M3</t>
        </is>
      </c>
      <c r="E34" s="19" t="inlineStr">
        <is>
          <t>M1</t>
        </is>
      </c>
      <c r="F34" s="19" t="n">
        <v>4</v>
      </c>
      <c r="G34" s="19" t="n">
        <v>5</v>
      </c>
      <c r="H34" s="19" t="n">
        <v>2</v>
      </c>
      <c r="I34" s="11" t="inlineStr">
        <is>
          <t>3.2</t>
        </is>
      </c>
      <c r="J34" s="10" t="inlineStr">
        <is>
          <t>Not started</t>
        </is>
      </c>
      <c r="K34" s="11">
        <f>IF(AND(1&gt;=$F34,1&lt;=$G34),$D34,"")</f>
        <v/>
      </c>
      <c r="L34" s="11">
        <f>IF(AND(2&gt;=$F34,2&lt;=$G34),$D34,"")</f>
        <v/>
      </c>
      <c r="M34" s="11">
        <f>IF(AND(3&gt;=$F34,3&lt;=$G34),$D34,"")</f>
        <v/>
      </c>
      <c r="N34" s="11">
        <f>IF(AND(4&gt;=$F34,4&lt;=$G34),$D34,"")</f>
        <v/>
      </c>
      <c r="O34" s="11">
        <f>IF(AND(5&gt;=$F34,5&lt;=$G34),$D34,"")</f>
        <v/>
      </c>
      <c r="P34" s="11">
        <f>IF(AND(6&gt;=$F34,6&lt;=$G34),$D34,"")</f>
        <v/>
      </c>
      <c r="Q34" s="11">
        <f>IF(AND(7&gt;=$F34,7&lt;=$G34),$D34,"")</f>
        <v/>
      </c>
    </row>
    <row r="35" ht="30" customHeight="1">
      <c r="A35" s="11" t="inlineStr">
        <is>
          <t>4.3</t>
        </is>
      </c>
      <c r="B35" s="11" t="inlineStr">
        <is>
          <t>Risk register + mitigations (quantify top risks with Simulation)</t>
        </is>
      </c>
      <c r="C35" s="11" t="inlineStr">
        <is>
          <t>Risks tab finalized, top 3 on slide</t>
        </is>
      </c>
      <c r="D35" s="19" t="inlineStr">
        <is>
          <t>M1</t>
        </is>
      </c>
      <c r="E35" s="19" t="inlineStr">
        <is>
          <t>M3</t>
        </is>
      </c>
      <c r="F35" s="19" t="n">
        <v>5</v>
      </c>
      <c r="G35" s="19" t="n">
        <v>5</v>
      </c>
      <c r="H35" s="19" t="n">
        <v>2</v>
      </c>
      <c r="I35" s="11" t="inlineStr">
        <is>
          <t>4.1</t>
        </is>
      </c>
      <c r="J35" s="10" t="inlineStr">
        <is>
          <t>Not started</t>
        </is>
      </c>
      <c r="K35" s="11">
        <f>IF(AND(1&gt;=$F35,1&lt;=$G35),$D35,"")</f>
        <v/>
      </c>
      <c r="L35" s="11">
        <f>IF(AND(2&gt;=$F35,2&lt;=$G35),$D35,"")</f>
        <v/>
      </c>
      <c r="M35" s="11">
        <f>IF(AND(3&gt;=$F35,3&lt;=$G35),$D35,"")</f>
        <v/>
      </c>
      <c r="N35" s="11">
        <f>IF(AND(4&gt;=$F35,4&lt;=$G35),$D35,"")</f>
        <v/>
      </c>
      <c r="O35" s="11">
        <f>IF(AND(5&gt;=$F35,5&lt;=$G35),$D35,"")</f>
        <v/>
      </c>
      <c r="P35" s="11">
        <f>IF(AND(6&gt;=$F35,6&lt;=$G35),$D35,"")</f>
        <v/>
      </c>
      <c r="Q35" s="11">
        <f>IF(AND(7&gt;=$F35,7&lt;=$G35),$D35,"")</f>
        <v/>
      </c>
    </row>
    <row r="36" ht="30" customHeight="1">
      <c r="A36" s="11" t="inlineStr">
        <is>
          <t>4.4</t>
        </is>
      </c>
      <c r="B36" s="11" t="inlineStr">
        <is>
          <t>Governance: owners, cadence, partner roles</t>
        </is>
      </c>
      <c r="C36" s="11" t="inlineStr">
        <is>
          <t>Governance box on roadmap slide</t>
        </is>
      </c>
      <c r="D36" s="19" t="inlineStr">
        <is>
          <t>M1</t>
        </is>
      </c>
      <c r="E36" s="19" t="inlineStr">
        <is>
          <t>M2</t>
        </is>
      </c>
      <c r="F36" s="19" t="n">
        <v>5</v>
      </c>
      <c r="G36" s="19" t="n">
        <v>5</v>
      </c>
      <c r="H36" s="19" t="n">
        <v>1</v>
      </c>
      <c r="I36" s="11" t="inlineStr">
        <is>
          <t>4.1</t>
        </is>
      </c>
      <c r="J36" s="10" t="inlineStr">
        <is>
          <t>Not started</t>
        </is>
      </c>
      <c r="K36" s="11">
        <f>IF(AND(1&gt;=$F36,1&lt;=$G36),$D36,"")</f>
        <v/>
      </c>
      <c r="L36" s="11">
        <f>IF(AND(2&gt;=$F36,2&lt;=$G36),$D36,"")</f>
        <v/>
      </c>
      <c r="M36" s="11">
        <f>IF(AND(3&gt;=$F36,3&lt;=$G36),$D36,"")</f>
        <v/>
      </c>
      <c r="N36" s="11">
        <f>IF(AND(4&gt;=$F36,4&lt;=$G36),$D36,"")</f>
        <v/>
      </c>
      <c r="O36" s="11">
        <f>IF(AND(5&gt;=$F36,5&lt;=$G36),$D36,"")</f>
        <v/>
      </c>
      <c r="P36" s="11">
        <f>IF(AND(6&gt;=$F36,6&lt;=$G36),$D36,"")</f>
        <v/>
      </c>
      <c r="Q36" s="11">
        <f>IF(AND(7&gt;=$F36,7&lt;=$G36),$D36,"")</f>
        <v/>
      </c>
    </row>
    <row r="37">
      <c r="A37" s="16" t="inlineStr">
        <is>
          <t>5</t>
        </is>
      </c>
      <c r="B37" s="16" t="inlineStr">
        <is>
          <t>IMPACT &amp; FINANCIALS (SQ4)</t>
        </is>
      </c>
      <c r="C37" s="17" t="n"/>
      <c r="D37" s="17" t="n"/>
      <c r="E37" s="17" t="n"/>
      <c r="F37" s="18" t="n">
        <v>0</v>
      </c>
      <c r="G37" s="18" t="n">
        <v>0</v>
      </c>
      <c r="H37" s="17" t="n"/>
      <c r="I37" s="17" t="n"/>
      <c r="J37" s="17" t="n"/>
      <c r="K37" s="17" t="n"/>
      <c r="L37" s="17" t="n"/>
      <c r="M37" s="17" t="n"/>
      <c r="N37" s="17" t="n"/>
      <c r="O37" s="17" t="n"/>
      <c r="P37" s="17" t="n"/>
      <c r="Q37" s="17" t="n"/>
    </row>
    <row r="38" ht="30" customHeight="1">
      <c r="A38" s="11" t="inlineStr">
        <is>
          <t>5.1</t>
        </is>
      </c>
      <c r="B38" s="11" t="inlineStr">
        <is>
          <t>Defend every yellow assumption with a source or reason</t>
        </is>
      </c>
      <c r="C38" s="11" t="inlineStr">
        <is>
          <t>No yellow cell without a note</t>
        </is>
      </c>
      <c r="D38" s="19" t="inlineStr">
        <is>
          <t>M3</t>
        </is>
      </c>
      <c r="E38" s="19" t="inlineStr">
        <is>
          <t>M2</t>
        </is>
      </c>
      <c r="F38" s="19" t="n">
        <v>3</v>
      </c>
      <c r="G38" s="19" t="n">
        <v>4</v>
      </c>
      <c r="H38" s="19" t="n">
        <v>4</v>
      </c>
      <c r="I38" s="11" t="inlineStr">
        <is>
          <t>2.5</t>
        </is>
      </c>
      <c r="J38" s="10" t="inlineStr">
        <is>
          <t>Not started</t>
        </is>
      </c>
      <c r="K38" s="11">
        <f>IF(AND(1&gt;=$F38,1&lt;=$G38),$D38,"")</f>
        <v/>
      </c>
      <c r="L38" s="11">
        <f>IF(AND(2&gt;=$F38,2&lt;=$G38),$D38,"")</f>
        <v/>
      </c>
      <c r="M38" s="11">
        <f>IF(AND(3&gt;=$F38,3&lt;=$G38),$D38,"")</f>
        <v/>
      </c>
      <c r="N38" s="11">
        <f>IF(AND(4&gt;=$F38,4&lt;=$G38),$D38,"")</f>
        <v/>
      </c>
      <c r="O38" s="11">
        <f>IF(AND(5&gt;=$F38,5&lt;=$G38),$D38,"")</f>
        <v/>
      </c>
      <c r="P38" s="11">
        <f>IF(AND(6&gt;=$F38,6&lt;=$G38),$D38,"")</f>
        <v/>
      </c>
      <c r="Q38" s="11">
        <f>IF(AND(7&gt;=$F38,7&lt;=$G38),$D38,"")</f>
        <v/>
      </c>
    </row>
    <row r="39" ht="30" customHeight="1">
      <c r="A39" s="11" t="inlineStr">
        <is>
          <t>5.2</t>
        </is>
      </c>
      <c r="B39" s="11" t="inlineStr">
        <is>
          <t>Update Model, scenarios, Dashboard</t>
        </is>
      </c>
      <c r="C39" s="11" t="inlineStr">
        <is>
          <t>Dashboard final; numbers frozen</t>
        </is>
      </c>
      <c r="D39" s="19" t="inlineStr">
        <is>
          <t>M3</t>
        </is>
      </c>
      <c r="E39" s="19" t="inlineStr"/>
      <c r="F39" s="19" t="n">
        <v>4</v>
      </c>
      <c r="G39" s="19" t="n">
        <v>4</v>
      </c>
      <c r="H39" s="19" t="n">
        <v>3</v>
      </c>
      <c r="I39" s="11" t="inlineStr">
        <is>
          <t>5.1</t>
        </is>
      </c>
      <c r="J39" s="10" t="inlineStr">
        <is>
          <t>Not started</t>
        </is>
      </c>
      <c r="K39" s="11">
        <f>IF(AND(1&gt;=$F39,1&lt;=$G39),$D39,"")</f>
        <v/>
      </c>
      <c r="L39" s="11">
        <f>IF(AND(2&gt;=$F39,2&lt;=$G39),$D39,"")</f>
        <v/>
      </c>
      <c r="M39" s="11">
        <f>IF(AND(3&gt;=$F39,3&lt;=$G39),$D39,"")</f>
        <v/>
      </c>
      <c r="N39" s="11">
        <f>IF(AND(4&gt;=$F39,4&lt;=$G39),$D39,"")</f>
        <v/>
      </c>
      <c r="O39" s="11">
        <f>IF(AND(5&gt;=$F39,5&lt;=$G39),$D39,"")</f>
        <v/>
      </c>
      <c r="P39" s="11">
        <f>IF(AND(6&gt;=$F39,6&lt;=$G39),$D39,"")</f>
        <v/>
      </c>
      <c r="Q39" s="11">
        <f>IF(AND(7&gt;=$F39,7&lt;=$G39),$D39,"")</f>
        <v/>
      </c>
    </row>
    <row r="40" ht="30" customHeight="1">
      <c r="A40" s="11" t="inlineStr">
        <is>
          <t>5.3</t>
        </is>
      </c>
      <c r="B40" s="11" t="inlineStr">
        <is>
          <t>Re-run run_tests.py with final assumptions</t>
        </is>
      </c>
      <c r="C40" s="11" t="inlineStr">
        <is>
          <t>Simulation tab refreshed</t>
        </is>
      </c>
      <c r="D40" s="19" t="inlineStr">
        <is>
          <t>M3</t>
        </is>
      </c>
      <c r="E40" s="19" t="inlineStr"/>
      <c r="F40" s="19" t="n">
        <v>5</v>
      </c>
      <c r="G40" s="19" t="n">
        <v>5</v>
      </c>
      <c r="H40" s="19" t="n">
        <v>2</v>
      </c>
      <c r="I40" s="11" t="inlineStr">
        <is>
          <t>5.2</t>
        </is>
      </c>
      <c r="J40" s="10" t="inlineStr">
        <is>
          <t>Not started</t>
        </is>
      </c>
      <c r="K40" s="11">
        <f>IF(AND(1&gt;=$F40,1&lt;=$G40),$D40,"")</f>
        <v/>
      </c>
      <c r="L40" s="11">
        <f>IF(AND(2&gt;=$F40,2&lt;=$G40),$D40,"")</f>
        <v/>
      </c>
      <c r="M40" s="11">
        <f>IF(AND(3&gt;=$F40,3&lt;=$G40),$D40,"")</f>
        <v/>
      </c>
      <c r="N40" s="11">
        <f>IF(AND(4&gt;=$F40,4&lt;=$G40),$D40,"")</f>
        <v/>
      </c>
      <c r="O40" s="11">
        <f>IF(AND(5&gt;=$F40,5&lt;=$G40),$D40,"")</f>
        <v/>
      </c>
      <c r="P40" s="11">
        <f>IF(AND(6&gt;=$F40,6&lt;=$G40),$D40,"")</f>
        <v/>
      </c>
      <c r="Q40" s="11">
        <f>IF(AND(7&gt;=$F40,7&lt;=$G40),$D40,"")</f>
        <v/>
      </c>
    </row>
    <row r="41" ht="30" customHeight="1">
      <c r="A41" s="11" t="inlineStr">
        <is>
          <t>5.4</t>
        </is>
      </c>
      <c r="B41" s="11" t="inlineStr">
        <is>
          <t>Finalize KPI tree (outcome + driver KPIs)</t>
        </is>
      </c>
      <c r="C41" s="11" t="inlineStr">
        <is>
          <t>KPI slide</t>
        </is>
      </c>
      <c r="D41" s="19" t="inlineStr">
        <is>
          <t>M3</t>
        </is>
      </c>
      <c r="E41" s="19" t="inlineStr">
        <is>
          <t>M2</t>
        </is>
      </c>
      <c r="F41" s="19" t="n">
        <v>5</v>
      </c>
      <c r="G41" s="19" t="n">
        <v>6</v>
      </c>
      <c r="H41" s="19" t="n">
        <v>2</v>
      </c>
      <c r="I41" s="11" t="inlineStr">
        <is>
          <t>5.2</t>
        </is>
      </c>
      <c r="J41" s="10" t="inlineStr">
        <is>
          <t>Not started</t>
        </is>
      </c>
      <c r="K41" s="11">
        <f>IF(AND(1&gt;=$F41,1&lt;=$G41),$D41,"")</f>
        <v/>
      </c>
      <c r="L41" s="11">
        <f>IF(AND(2&gt;=$F41,2&lt;=$G41),$D41,"")</f>
        <v/>
      </c>
      <c r="M41" s="11">
        <f>IF(AND(3&gt;=$F41,3&lt;=$G41),$D41,"")</f>
        <v/>
      </c>
      <c r="N41" s="11">
        <f>IF(AND(4&gt;=$F41,4&lt;=$G41),$D41,"")</f>
        <v/>
      </c>
      <c r="O41" s="11">
        <f>IF(AND(5&gt;=$F41,5&lt;=$G41),$D41,"")</f>
        <v/>
      </c>
      <c r="P41" s="11">
        <f>IF(AND(6&gt;=$F41,6&lt;=$G41),$D41,"")</f>
        <v/>
      </c>
      <c r="Q41" s="11">
        <f>IF(AND(7&gt;=$F41,7&lt;=$G41),$D41,"")</f>
        <v/>
      </c>
    </row>
    <row r="42" ht="30" customHeight="1">
      <c r="A42" s="11" t="inlineStr">
        <is>
          <t>5.5</t>
        </is>
      </c>
      <c r="B42" s="11" t="inlineStr">
        <is>
          <t>Non-financial impact: time, flexibility, capability</t>
        </is>
      </c>
      <c r="C42" s="11" t="inlineStr">
        <is>
          <t>Impact summary slide</t>
        </is>
      </c>
      <c r="D42" s="19" t="inlineStr">
        <is>
          <t>M3</t>
        </is>
      </c>
      <c r="E42" s="19" t="inlineStr">
        <is>
          <t>M1</t>
        </is>
      </c>
      <c r="F42" s="19" t="n">
        <v>5</v>
      </c>
      <c r="G42" s="19" t="n">
        <v>6</v>
      </c>
      <c r="H42" s="19" t="n">
        <v>2</v>
      </c>
      <c r="I42" s="11" t="inlineStr">
        <is>
          <t>4.2</t>
        </is>
      </c>
      <c r="J42" s="10" t="inlineStr">
        <is>
          <t>Not started</t>
        </is>
      </c>
      <c r="K42" s="11">
        <f>IF(AND(1&gt;=$F42,1&lt;=$G42),$D42,"")</f>
        <v/>
      </c>
      <c r="L42" s="11">
        <f>IF(AND(2&gt;=$F42,2&lt;=$G42),$D42,"")</f>
        <v/>
      </c>
      <c r="M42" s="11">
        <f>IF(AND(3&gt;=$F42,3&lt;=$G42),$D42,"")</f>
        <v/>
      </c>
      <c r="N42" s="11">
        <f>IF(AND(4&gt;=$F42,4&lt;=$G42),$D42,"")</f>
        <v/>
      </c>
      <c r="O42" s="11">
        <f>IF(AND(5&gt;=$F42,5&lt;=$G42),$D42,"")</f>
        <v/>
      </c>
      <c r="P42" s="11">
        <f>IF(AND(6&gt;=$F42,6&lt;=$G42),$D42,"")</f>
        <v/>
      </c>
      <c r="Q42" s="11">
        <f>IF(AND(7&gt;=$F42,7&lt;=$G42),$D42,"")</f>
        <v/>
      </c>
    </row>
    <row r="43">
      <c r="A43" s="16" t="inlineStr">
        <is>
          <t>6</t>
        </is>
      </c>
      <c r="B43" s="16" t="inlineStr">
        <is>
          <t>DECK &amp; STORY</t>
        </is>
      </c>
      <c r="C43" s="17" t="n"/>
      <c r="D43" s="17" t="n"/>
      <c r="E43" s="17" t="n"/>
      <c r="F43" s="18" t="n">
        <v>0</v>
      </c>
      <c r="G43" s="18" t="n">
        <v>0</v>
      </c>
      <c r="H43" s="17" t="n"/>
      <c r="I43" s="17" t="n"/>
      <c r="J43" s="17" t="n"/>
      <c r="K43" s="17" t="n"/>
      <c r="L43" s="17" t="n"/>
      <c r="M43" s="17" t="n"/>
      <c r="N43" s="17" t="n"/>
      <c r="O43" s="17" t="n"/>
      <c r="P43" s="17" t="n"/>
      <c r="Q43" s="17" t="n"/>
    </row>
    <row r="44" ht="30" customHeight="1">
      <c r="A44" s="11" t="inlineStr">
        <is>
          <t>6.1</t>
        </is>
      </c>
      <c r="B44" s="11" t="inlineStr">
        <is>
          <t>Storyline skeleton with action titles</t>
        </is>
      </c>
      <c r="C44" s="11" t="inlineStr">
        <is>
          <t>Titles alone tell the story</t>
        </is>
      </c>
      <c r="D44" s="19" t="inlineStr">
        <is>
          <t>M1</t>
        </is>
      </c>
      <c r="E44" s="19" t="inlineStr">
        <is>
          <t>All</t>
        </is>
      </c>
      <c r="F44" s="19" t="n">
        <v>3</v>
      </c>
      <c r="G44" s="19" t="n">
        <v>3</v>
      </c>
      <c r="H44" s="19" t="n">
        <v>2</v>
      </c>
      <c r="I44" s="11" t="inlineStr">
        <is>
          <t>3.2</t>
        </is>
      </c>
      <c r="J44" s="10" t="inlineStr">
        <is>
          <t>Not started</t>
        </is>
      </c>
      <c r="K44" s="11">
        <f>IF(AND(1&gt;=$F44,1&lt;=$G44),$D44,"")</f>
        <v/>
      </c>
      <c r="L44" s="11">
        <f>IF(AND(2&gt;=$F44,2&lt;=$G44),$D44,"")</f>
        <v/>
      </c>
      <c r="M44" s="11">
        <f>IF(AND(3&gt;=$F44,3&lt;=$G44),$D44,"")</f>
        <v/>
      </c>
      <c r="N44" s="11">
        <f>IF(AND(4&gt;=$F44,4&lt;=$G44),$D44,"")</f>
        <v/>
      </c>
      <c r="O44" s="11">
        <f>IF(AND(5&gt;=$F44,5&lt;=$G44),$D44,"")</f>
        <v/>
      </c>
      <c r="P44" s="11">
        <f>IF(AND(6&gt;=$F44,6&lt;=$G44),$D44,"")</f>
        <v/>
      </c>
      <c r="Q44" s="11">
        <f>IF(AND(7&gt;=$F44,7&lt;=$G44),$D44,"")</f>
        <v/>
      </c>
    </row>
    <row r="45" ht="30" customHeight="1">
      <c r="A45" s="11" t="inlineStr">
        <is>
          <t>6.2</t>
        </is>
      </c>
      <c r="B45" s="11" t="inlineStr">
        <is>
          <t>Slide template + visual system</t>
        </is>
      </c>
      <c r="C45" s="11" t="inlineStr">
        <is>
          <t>Master template shared</t>
        </is>
      </c>
      <c r="D45" s="19" t="inlineStr">
        <is>
          <t>M2</t>
        </is>
      </c>
      <c r="E45" s="19" t="inlineStr"/>
      <c r="F45" s="19" t="n">
        <v>2</v>
      </c>
      <c r="G45" s="19" t="n">
        <v>3</v>
      </c>
      <c r="H45" s="19" t="n">
        <v>2</v>
      </c>
      <c r="I45" s="11" t="inlineStr"/>
      <c r="J45" s="10" t="inlineStr">
        <is>
          <t>Not started</t>
        </is>
      </c>
      <c r="K45" s="11">
        <f>IF(AND(1&gt;=$F45,1&lt;=$G45),$D45,"")</f>
        <v/>
      </c>
      <c r="L45" s="11">
        <f>IF(AND(2&gt;=$F45,2&lt;=$G45),$D45,"")</f>
        <v/>
      </c>
      <c r="M45" s="11">
        <f>IF(AND(3&gt;=$F45,3&lt;=$G45),$D45,"")</f>
        <v/>
      </c>
      <c r="N45" s="11">
        <f>IF(AND(4&gt;=$F45,4&lt;=$G45),$D45,"")</f>
        <v/>
      </c>
      <c r="O45" s="11">
        <f>IF(AND(5&gt;=$F45,5&lt;=$G45),$D45,"")</f>
        <v/>
      </c>
      <c r="P45" s="11">
        <f>IF(AND(6&gt;=$F45,6&lt;=$G45),$D45,"")</f>
        <v/>
      </c>
      <c r="Q45" s="11">
        <f>IF(AND(7&gt;=$F45,7&lt;=$G45),$D45,"")</f>
        <v/>
      </c>
    </row>
    <row r="46" ht="30" customHeight="1">
      <c r="A46" s="11" t="inlineStr">
        <is>
          <t>6.3</t>
        </is>
      </c>
      <c r="B46" s="11" t="inlineStr">
        <is>
          <t>SQ1 slides (situation, root cause, vision, gap)</t>
        </is>
      </c>
      <c r="C46" s="11" t="inlineStr">
        <is>
          <t>Draft slides</t>
        </is>
      </c>
      <c r="D46" s="19" t="inlineStr">
        <is>
          <t>M1</t>
        </is>
      </c>
      <c r="E46" s="19" t="inlineStr">
        <is>
          <t>M2</t>
        </is>
      </c>
      <c r="F46" s="19" t="n">
        <v>4</v>
      </c>
      <c r="G46" s="19" t="n">
        <v>5</v>
      </c>
      <c r="H46" s="19" t="n">
        <v>3</v>
      </c>
      <c r="I46" s="11" t="inlineStr">
        <is>
          <t>2.3</t>
        </is>
      </c>
      <c r="J46" s="10" t="inlineStr">
        <is>
          <t>Not started</t>
        </is>
      </c>
      <c r="K46" s="11">
        <f>IF(AND(1&gt;=$F46,1&lt;=$G46),$D46,"")</f>
        <v/>
      </c>
      <c r="L46" s="11">
        <f>IF(AND(2&gt;=$F46,2&lt;=$G46),$D46,"")</f>
        <v/>
      </c>
      <c r="M46" s="11">
        <f>IF(AND(3&gt;=$F46,3&lt;=$G46),$D46,"")</f>
        <v/>
      </c>
      <c r="N46" s="11">
        <f>IF(AND(4&gt;=$F46,4&lt;=$G46),$D46,"")</f>
        <v/>
      </c>
      <c r="O46" s="11">
        <f>IF(AND(5&gt;=$F46,5&lt;=$G46),$D46,"")</f>
        <v/>
      </c>
      <c r="P46" s="11">
        <f>IF(AND(6&gt;=$F46,6&lt;=$G46),$D46,"")</f>
        <v/>
      </c>
      <c r="Q46" s="11">
        <f>IF(AND(7&gt;=$F46,7&lt;=$G46),$D46,"")</f>
        <v/>
      </c>
    </row>
    <row r="47" ht="30" customHeight="1">
      <c r="A47" s="11" t="inlineStr">
        <is>
          <t>6.4</t>
        </is>
      </c>
      <c r="B47" s="11" t="inlineStr">
        <is>
          <t>SQ2 slides (idea, mechanism, day-in-the-life)</t>
        </is>
      </c>
      <c r="C47" s="11" t="inlineStr">
        <is>
          <t>Draft slides</t>
        </is>
      </c>
      <c r="D47" s="19" t="inlineStr">
        <is>
          <t>M2</t>
        </is>
      </c>
      <c r="E47" s="19" t="inlineStr">
        <is>
          <t>M1</t>
        </is>
      </c>
      <c r="F47" s="19" t="n">
        <v>5</v>
      </c>
      <c r="G47" s="19" t="n">
        <v>6</v>
      </c>
      <c r="H47" s="19" t="n">
        <v>4</v>
      </c>
      <c r="I47" s="11" t="inlineStr">
        <is>
          <t>3.3</t>
        </is>
      </c>
      <c r="J47" s="10" t="inlineStr">
        <is>
          <t>Not started</t>
        </is>
      </c>
      <c r="K47" s="11">
        <f>IF(AND(1&gt;=$F47,1&lt;=$G47),$D47,"")</f>
        <v/>
      </c>
      <c r="L47" s="11">
        <f>IF(AND(2&gt;=$F47,2&lt;=$G47),$D47,"")</f>
        <v/>
      </c>
      <c r="M47" s="11">
        <f>IF(AND(3&gt;=$F47,3&lt;=$G47),$D47,"")</f>
        <v/>
      </c>
      <c r="N47" s="11">
        <f>IF(AND(4&gt;=$F47,4&lt;=$G47),$D47,"")</f>
        <v/>
      </c>
      <c r="O47" s="11">
        <f>IF(AND(5&gt;=$F47,5&lt;=$G47),$D47,"")</f>
        <v/>
      </c>
      <c r="P47" s="11">
        <f>IF(AND(6&gt;=$F47,6&lt;=$G47),$D47,"")</f>
        <v/>
      </c>
      <c r="Q47" s="11">
        <f>IF(AND(7&gt;=$F47,7&lt;=$G47),$D47,"")</f>
        <v/>
      </c>
    </row>
    <row r="48" ht="30" customHeight="1">
      <c r="A48" s="11" t="inlineStr">
        <is>
          <t>6.5</t>
        </is>
      </c>
      <c r="B48" s="11" t="inlineStr">
        <is>
          <t>SQ3 slides (roadmap, capability, risks)</t>
        </is>
      </c>
      <c r="C48" s="11" t="inlineStr">
        <is>
          <t>Draft slides</t>
        </is>
      </c>
      <c r="D48" s="19" t="inlineStr">
        <is>
          <t>M2</t>
        </is>
      </c>
      <c r="E48" s="19" t="inlineStr">
        <is>
          <t>M3</t>
        </is>
      </c>
      <c r="F48" s="19" t="n">
        <v>5</v>
      </c>
      <c r="G48" s="19" t="n">
        <v>6</v>
      </c>
      <c r="H48" s="19" t="n">
        <v>3</v>
      </c>
      <c r="I48" s="11" t="inlineStr">
        <is>
          <t>4.1</t>
        </is>
      </c>
      <c r="J48" s="10" t="inlineStr">
        <is>
          <t>Not started</t>
        </is>
      </c>
      <c r="K48" s="11">
        <f>IF(AND(1&gt;=$F48,1&lt;=$G48),$D48,"")</f>
        <v/>
      </c>
      <c r="L48" s="11">
        <f>IF(AND(2&gt;=$F48,2&lt;=$G48),$D48,"")</f>
        <v/>
      </c>
      <c r="M48" s="11">
        <f>IF(AND(3&gt;=$F48,3&lt;=$G48),$D48,"")</f>
        <v/>
      </c>
      <c r="N48" s="11">
        <f>IF(AND(4&gt;=$F48,4&lt;=$G48),$D48,"")</f>
        <v/>
      </c>
      <c r="O48" s="11">
        <f>IF(AND(5&gt;=$F48,5&lt;=$G48),$D48,"")</f>
        <v/>
      </c>
      <c r="P48" s="11">
        <f>IF(AND(6&gt;=$F48,6&lt;=$G48),$D48,"")</f>
        <v/>
      </c>
      <c r="Q48" s="11">
        <f>IF(AND(7&gt;=$F48,7&lt;=$G48),$D48,"")</f>
        <v/>
      </c>
    </row>
    <row r="49" ht="30" customHeight="1">
      <c r="A49" s="11" t="inlineStr">
        <is>
          <t>6.6</t>
        </is>
      </c>
      <c r="B49" s="11" t="inlineStr">
        <is>
          <t>SQ4 slides (financials, simulation, KPIs)</t>
        </is>
      </c>
      <c r="C49" s="11" t="inlineStr">
        <is>
          <t>Draft slides</t>
        </is>
      </c>
      <c r="D49" s="19" t="inlineStr">
        <is>
          <t>M3</t>
        </is>
      </c>
      <c r="E49" s="19" t="inlineStr"/>
      <c r="F49" s="19" t="n">
        <v>5</v>
      </c>
      <c r="G49" s="19" t="n">
        <v>6</v>
      </c>
      <c r="H49" s="19" t="n">
        <v>3</v>
      </c>
      <c r="I49" s="11" t="inlineStr">
        <is>
          <t>5.2</t>
        </is>
      </c>
      <c r="J49" s="10" t="inlineStr">
        <is>
          <t>Not started</t>
        </is>
      </c>
      <c r="K49" s="11">
        <f>IF(AND(1&gt;=$F49,1&lt;=$G49),$D49,"")</f>
        <v/>
      </c>
      <c r="L49" s="11">
        <f>IF(AND(2&gt;=$F49,2&lt;=$G49),$D49,"")</f>
        <v/>
      </c>
      <c r="M49" s="11">
        <f>IF(AND(3&gt;=$F49,3&lt;=$G49),$D49,"")</f>
        <v/>
      </c>
      <c r="N49" s="11">
        <f>IF(AND(4&gt;=$F49,4&lt;=$G49),$D49,"")</f>
        <v/>
      </c>
      <c r="O49" s="11">
        <f>IF(AND(5&gt;=$F49,5&lt;=$G49),$D49,"")</f>
        <v/>
      </c>
      <c r="P49" s="11">
        <f>IF(AND(6&gt;=$F49,6&lt;=$G49),$D49,"")</f>
        <v/>
      </c>
      <c r="Q49" s="11">
        <f>IF(AND(7&gt;=$F49,7&lt;=$G49),$D49,"")</f>
        <v/>
      </c>
    </row>
    <row r="50" ht="30" customHeight="1">
      <c r="A50" s="11" t="inlineStr">
        <is>
          <t>6.7</t>
        </is>
      </c>
      <c r="B50" s="11" t="inlineStr">
        <is>
          <t>Executive summary</t>
        </is>
      </c>
      <c r="C50" s="11" t="inlineStr">
        <is>
          <t>1 slide, readable in 30 seconds</t>
        </is>
      </c>
      <c r="D50" s="19" t="inlineStr">
        <is>
          <t>M1</t>
        </is>
      </c>
      <c r="E50" s="19" t="inlineStr">
        <is>
          <t>All</t>
        </is>
      </c>
      <c r="F50" s="19" t="n">
        <v>6</v>
      </c>
      <c r="G50" s="19" t="n">
        <v>6</v>
      </c>
      <c r="H50" s="19" t="n">
        <v>2</v>
      </c>
      <c r="I50" s="11" t="inlineStr">
        <is>
          <t>6.3</t>
        </is>
      </c>
      <c r="J50" s="10" t="inlineStr">
        <is>
          <t>Not started</t>
        </is>
      </c>
      <c r="K50" s="11">
        <f>IF(AND(1&gt;=$F50,1&lt;=$G50),$D50,"")</f>
        <v/>
      </c>
      <c r="L50" s="11">
        <f>IF(AND(2&gt;=$F50,2&lt;=$G50),$D50,"")</f>
        <v/>
      </c>
      <c r="M50" s="11">
        <f>IF(AND(3&gt;=$F50,3&lt;=$G50),$D50,"")</f>
        <v/>
      </c>
      <c r="N50" s="11">
        <f>IF(AND(4&gt;=$F50,4&lt;=$G50),$D50,"")</f>
        <v/>
      </c>
      <c r="O50" s="11">
        <f>IF(AND(5&gt;=$F50,5&lt;=$G50),$D50,"")</f>
        <v/>
      </c>
      <c r="P50" s="11">
        <f>IF(AND(6&gt;=$F50,6&lt;=$G50),$D50,"")</f>
        <v/>
      </c>
      <c r="Q50" s="11">
        <f>IF(AND(7&gt;=$F50,7&lt;=$G50),$D50,"")</f>
        <v/>
      </c>
    </row>
    <row r="51" ht="30" customHeight="1">
      <c r="A51" s="11" t="inlineStr">
        <is>
          <t>6.8</t>
        </is>
      </c>
      <c r="B51" s="11" t="inlineStr">
        <is>
          <t>Appendix: assumptions, simulation, alternatives, sources</t>
        </is>
      </c>
      <c r="C51" s="11" t="inlineStr">
        <is>
          <t>Appendix complete, same style</t>
        </is>
      </c>
      <c r="D51" s="19" t="inlineStr">
        <is>
          <t>M3</t>
        </is>
      </c>
      <c r="E51" s="19" t="inlineStr">
        <is>
          <t>M2</t>
        </is>
      </c>
      <c r="F51" s="19" t="n">
        <v>6</v>
      </c>
      <c r="G51" s="19" t="n">
        <v>6</v>
      </c>
      <c r="H51" s="19" t="n">
        <v>2</v>
      </c>
      <c r="I51" s="11" t="inlineStr">
        <is>
          <t>5.3</t>
        </is>
      </c>
      <c r="J51" s="10" t="inlineStr">
        <is>
          <t>Not started</t>
        </is>
      </c>
      <c r="K51" s="11">
        <f>IF(AND(1&gt;=$F51,1&lt;=$G51),$D51,"")</f>
        <v/>
      </c>
      <c r="L51" s="11">
        <f>IF(AND(2&gt;=$F51,2&lt;=$G51),$D51,"")</f>
        <v/>
      </c>
      <c r="M51" s="11">
        <f>IF(AND(3&gt;=$F51,3&lt;=$G51),$D51,"")</f>
        <v/>
      </c>
      <c r="N51" s="11">
        <f>IF(AND(4&gt;=$F51,4&lt;=$G51),$D51,"")</f>
        <v/>
      </c>
      <c r="O51" s="11">
        <f>IF(AND(5&gt;=$F51,5&lt;=$G51),$D51,"")</f>
        <v/>
      </c>
      <c r="P51" s="11">
        <f>IF(AND(6&gt;=$F51,6&lt;=$G51),$D51,"")</f>
        <v/>
      </c>
      <c r="Q51" s="11">
        <f>IF(AND(7&gt;=$F51,7&lt;=$G51),$D51,"")</f>
        <v/>
      </c>
    </row>
    <row r="52" ht="30" customHeight="1">
      <c r="A52" s="11" t="inlineStr">
        <is>
          <t>6.9</t>
        </is>
      </c>
      <c r="B52" s="11" t="inlineStr">
        <is>
          <t>Design polish + consistency pass</t>
        </is>
      </c>
      <c r="C52" s="11" t="inlineStr">
        <is>
          <t>One font, one color system, aligned charts</t>
        </is>
      </c>
      <c r="D52" s="19" t="inlineStr">
        <is>
          <t>M2</t>
        </is>
      </c>
      <c r="E52" s="19" t="inlineStr"/>
      <c r="F52" s="19" t="n">
        <v>6</v>
      </c>
      <c r="G52" s="19" t="n">
        <v>7</v>
      </c>
      <c r="H52" s="19" t="n">
        <v>3</v>
      </c>
      <c r="I52" s="11" t="inlineStr">
        <is>
          <t>6.7</t>
        </is>
      </c>
      <c r="J52" s="10" t="inlineStr">
        <is>
          <t>Not started</t>
        </is>
      </c>
      <c r="K52" s="11">
        <f>IF(AND(1&gt;=$F52,1&lt;=$G52),$D52,"")</f>
        <v/>
      </c>
      <c r="L52" s="11">
        <f>IF(AND(2&gt;=$F52,2&lt;=$G52),$D52,"")</f>
        <v/>
      </c>
      <c r="M52" s="11">
        <f>IF(AND(3&gt;=$F52,3&lt;=$G52),$D52,"")</f>
        <v/>
      </c>
      <c r="N52" s="11">
        <f>IF(AND(4&gt;=$F52,4&lt;=$G52),$D52,"")</f>
        <v/>
      </c>
      <c r="O52" s="11">
        <f>IF(AND(5&gt;=$F52,5&lt;=$G52),$D52,"")</f>
        <v/>
      </c>
      <c r="P52" s="11">
        <f>IF(AND(6&gt;=$F52,6&lt;=$G52),$D52,"")</f>
        <v/>
      </c>
      <c r="Q52" s="11">
        <f>IF(AND(7&gt;=$F52,7&lt;=$G52),$D52,"")</f>
        <v/>
      </c>
    </row>
    <row r="53">
      <c r="A53" s="16" t="inlineStr">
        <is>
          <t>7</t>
        </is>
      </c>
      <c r="B53" s="16" t="inlineStr">
        <is>
          <t>QUALITY &amp; PRESENTATION</t>
        </is>
      </c>
      <c r="C53" s="17" t="n"/>
      <c r="D53" s="17" t="n"/>
      <c r="E53" s="17" t="n"/>
      <c r="F53" s="18" t="n">
        <v>0</v>
      </c>
      <c r="G53" s="18" t="n">
        <v>0</v>
      </c>
      <c r="H53" s="17" t="n"/>
      <c r="I53" s="17" t="n"/>
      <c r="J53" s="17" t="n"/>
      <c r="K53" s="17" t="n"/>
      <c r="L53" s="17" t="n"/>
      <c r="M53" s="17" t="n"/>
      <c r="N53" s="17" t="n"/>
      <c r="O53" s="17" t="n"/>
      <c r="P53" s="17" t="n"/>
      <c r="Q53" s="17" t="n"/>
    </row>
    <row r="54" ht="30" customHeight="1">
      <c r="A54" s="11" t="inlineStr">
        <is>
          <t>7.1</t>
        </is>
      </c>
      <c r="B54" s="11" t="inlineStr">
        <is>
          <t>Red-team review: each member attacks another's section</t>
        </is>
      </c>
      <c r="C54" s="11" t="inlineStr">
        <is>
          <t>Comment list closed</t>
        </is>
      </c>
      <c r="D54" s="19" t="inlineStr">
        <is>
          <t>M1</t>
        </is>
      </c>
      <c r="E54" s="19" t="inlineStr">
        <is>
          <t>All</t>
        </is>
      </c>
      <c r="F54" s="19" t="n">
        <v>5</v>
      </c>
      <c r="G54" s="19" t="n">
        <v>6</v>
      </c>
      <c r="H54" s="19" t="n">
        <v>2</v>
      </c>
      <c r="I54" s="11" t="inlineStr">
        <is>
          <t>6.3</t>
        </is>
      </c>
      <c r="J54" s="10" t="inlineStr">
        <is>
          <t>Not started</t>
        </is>
      </c>
      <c r="K54" s="11">
        <f>IF(AND(1&gt;=$F54,1&lt;=$G54),$D54,"")</f>
        <v/>
      </c>
      <c r="L54" s="11">
        <f>IF(AND(2&gt;=$F54,2&lt;=$G54),$D54,"")</f>
        <v/>
      </c>
      <c r="M54" s="11">
        <f>IF(AND(3&gt;=$F54,3&lt;=$G54),$D54,"")</f>
        <v/>
      </c>
      <c r="N54" s="11">
        <f>IF(AND(4&gt;=$F54,4&lt;=$G54),$D54,"")</f>
        <v/>
      </c>
      <c r="O54" s="11">
        <f>IF(AND(5&gt;=$F54,5&lt;=$G54),$D54,"")</f>
        <v/>
      </c>
      <c r="P54" s="11">
        <f>IF(AND(6&gt;=$F54,6&lt;=$G54),$D54,"")</f>
        <v/>
      </c>
      <c r="Q54" s="11">
        <f>IF(AND(7&gt;=$F54,7&lt;=$G54),$D54,"")</f>
        <v/>
      </c>
    </row>
    <row r="55" ht="30" customHeight="1">
      <c r="A55" s="11" t="inlineStr">
        <is>
          <t>7.2</t>
        </is>
      </c>
      <c r="B55" s="11" t="inlineStr">
        <is>
          <t>Number tie-out: every number traced to tab/exhibit</t>
        </is>
      </c>
      <c r="C55" s="11" t="inlineStr">
        <is>
          <t>Checklist signed off</t>
        </is>
      </c>
      <c r="D55" s="19" t="inlineStr">
        <is>
          <t>M3</t>
        </is>
      </c>
      <c r="E55" s="19" t="inlineStr">
        <is>
          <t>M1</t>
        </is>
      </c>
      <c r="F55" s="19" t="n">
        <v>6</v>
      </c>
      <c r="G55" s="19" t="n">
        <v>7</v>
      </c>
      <c r="H55" s="19" t="n">
        <v>2</v>
      </c>
      <c r="I55" s="11" t="inlineStr">
        <is>
          <t>6.8</t>
        </is>
      </c>
      <c r="J55" s="10" t="inlineStr">
        <is>
          <t>Not started</t>
        </is>
      </c>
      <c r="K55" s="11">
        <f>IF(AND(1&gt;=$F55,1&lt;=$G55),$D55,"")</f>
        <v/>
      </c>
      <c r="L55" s="11">
        <f>IF(AND(2&gt;=$F55,2&lt;=$G55),$D55,"")</f>
        <v/>
      </c>
      <c r="M55" s="11">
        <f>IF(AND(3&gt;=$F55,3&lt;=$G55),$D55,"")</f>
        <v/>
      </c>
      <c r="N55" s="11">
        <f>IF(AND(4&gt;=$F55,4&lt;=$G55),$D55,"")</f>
        <v/>
      </c>
      <c r="O55" s="11">
        <f>IF(AND(5&gt;=$F55,5&lt;=$G55),$D55,"")</f>
        <v/>
      </c>
      <c r="P55" s="11">
        <f>IF(AND(6&gt;=$F55,6&lt;=$G55),$D55,"")</f>
        <v/>
      </c>
      <c r="Q55" s="11">
        <f>IF(AND(7&gt;=$F55,7&lt;=$G55),$D55,"")</f>
        <v/>
      </c>
    </row>
    <row r="56" ht="30" customHeight="1">
      <c r="A56" s="11" t="inlineStr">
        <is>
          <t>7.3</t>
        </is>
      </c>
      <c r="B56" s="11" t="inlineStr">
        <is>
          <t>Q&amp;A bank: answers + owner per question (QA_Bank tab)</t>
        </is>
      </c>
      <c r="C56" s="11" t="inlineStr">
        <is>
          <t>Every question has an owner + data point</t>
        </is>
      </c>
      <c r="D56" s="19" t="inlineStr">
        <is>
          <t>M3</t>
        </is>
      </c>
      <c r="E56" s="19" t="inlineStr">
        <is>
          <t>All</t>
        </is>
      </c>
      <c r="F56" s="19" t="n">
        <v>7</v>
      </c>
      <c r="G56" s="19" t="n">
        <v>7</v>
      </c>
      <c r="H56" s="19" t="n">
        <v>2</v>
      </c>
      <c r="I56" s="11" t="inlineStr">
        <is>
          <t>7.1</t>
        </is>
      </c>
      <c r="J56" s="10" t="inlineStr">
        <is>
          <t>Not started</t>
        </is>
      </c>
      <c r="K56" s="11">
        <f>IF(AND(1&gt;=$F56,1&lt;=$G56),$D56,"")</f>
        <v/>
      </c>
      <c r="L56" s="11">
        <f>IF(AND(2&gt;=$F56,2&lt;=$G56),$D56,"")</f>
        <v/>
      </c>
      <c r="M56" s="11">
        <f>IF(AND(3&gt;=$F56,3&lt;=$G56),$D56,"")</f>
        <v/>
      </c>
      <c r="N56" s="11">
        <f>IF(AND(4&gt;=$F56,4&lt;=$G56),$D56,"")</f>
        <v/>
      </c>
      <c r="O56" s="11">
        <f>IF(AND(5&gt;=$F56,5&lt;=$G56),$D56,"")</f>
        <v/>
      </c>
      <c r="P56" s="11">
        <f>IF(AND(6&gt;=$F56,6&lt;=$G56),$D56,"")</f>
        <v/>
      </c>
      <c r="Q56" s="11">
        <f>IF(AND(7&gt;=$F56,7&lt;=$G56),$D56,"")</f>
        <v/>
      </c>
    </row>
    <row r="57" ht="30" customHeight="1">
      <c r="A57" s="11" t="inlineStr">
        <is>
          <t>7.4</t>
        </is>
      </c>
      <c r="B57" s="11" t="inlineStr">
        <is>
          <t>Speaker split + script (see split below)</t>
        </is>
      </c>
      <c r="C57" s="11" t="inlineStr">
        <is>
          <t>Each speaker has a 1-page script and handover lines</t>
        </is>
      </c>
      <c r="D57" s="19" t="inlineStr">
        <is>
          <t>M1</t>
        </is>
      </c>
      <c r="E57" s="19" t="inlineStr">
        <is>
          <t>All</t>
        </is>
      </c>
      <c r="F57" s="19" t="n">
        <v>6</v>
      </c>
      <c r="G57" s="19" t="n">
        <v>6</v>
      </c>
      <c r="H57" s="19" t="n">
        <v>2</v>
      </c>
      <c r="I57" s="11" t="inlineStr">
        <is>
          <t>6.7</t>
        </is>
      </c>
      <c r="J57" s="10" t="inlineStr">
        <is>
          <t>Not started</t>
        </is>
      </c>
      <c r="K57" s="11">
        <f>IF(AND(1&gt;=$F57,1&lt;=$G57),$D57,"")</f>
        <v/>
      </c>
      <c r="L57" s="11">
        <f>IF(AND(2&gt;=$F57,2&lt;=$G57),$D57,"")</f>
        <v/>
      </c>
      <c r="M57" s="11">
        <f>IF(AND(3&gt;=$F57,3&lt;=$G57),$D57,"")</f>
        <v/>
      </c>
      <c r="N57" s="11">
        <f>IF(AND(4&gt;=$F57,4&lt;=$G57),$D57,"")</f>
        <v/>
      </c>
      <c r="O57" s="11">
        <f>IF(AND(5&gt;=$F57,5&lt;=$G57),$D57,"")</f>
        <v/>
      </c>
      <c r="P57" s="11">
        <f>IF(AND(6&gt;=$F57,6&lt;=$G57),$D57,"")</f>
        <v/>
      </c>
      <c r="Q57" s="11">
        <f>IF(AND(7&gt;=$F57,7&lt;=$G57),$D57,"")</f>
        <v/>
      </c>
    </row>
    <row r="58" ht="30" customHeight="1">
      <c r="A58" s="11" t="inlineStr">
        <is>
          <t>7.5</t>
        </is>
      </c>
      <c r="B58" s="11" t="inlineStr">
        <is>
          <t>Two timed mock presentations + Q&amp;A drill</t>
        </is>
      </c>
      <c r="C58" s="11" t="inlineStr">
        <is>
          <t>Within time limit, smooth handovers</t>
        </is>
      </c>
      <c r="D58" s="19" t="inlineStr">
        <is>
          <t>M1</t>
        </is>
      </c>
      <c r="E58" s="19" t="inlineStr">
        <is>
          <t>All</t>
        </is>
      </c>
      <c r="F58" s="19" t="n">
        <v>7</v>
      </c>
      <c r="G58" s="19" t="n">
        <v>7</v>
      </c>
      <c r="H58" s="19" t="n">
        <v>3</v>
      </c>
      <c r="I58" s="11" t="inlineStr">
        <is>
          <t>7.4</t>
        </is>
      </c>
      <c r="J58" s="10" t="inlineStr">
        <is>
          <t>Not started</t>
        </is>
      </c>
      <c r="K58" s="11">
        <f>IF(AND(1&gt;=$F58,1&lt;=$G58),$D58,"")</f>
        <v/>
      </c>
      <c r="L58" s="11">
        <f>IF(AND(2&gt;=$F58,2&lt;=$G58),$D58,"")</f>
        <v/>
      </c>
      <c r="M58" s="11">
        <f>IF(AND(3&gt;=$F58,3&lt;=$G58),$D58,"")</f>
        <v/>
      </c>
      <c r="N58" s="11">
        <f>IF(AND(4&gt;=$F58,4&lt;=$G58),$D58,"")</f>
        <v/>
      </c>
      <c r="O58" s="11">
        <f>IF(AND(5&gt;=$F58,5&lt;=$G58),$D58,"")</f>
        <v/>
      </c>
      <c r="P58" s="11">
        <f>IF(AND(6&gt;=$F58,6&lt;=$G58),$D58,"")</f>
        <v/>
      </c>
      <c r="Q58" s="11">
        <f>IF(AND(7&gt;=$F58,7&lt;=$G58),$D58,"")</f>
        <v/>
      </c>
    </row>
    <row r="59" ht="30" customHeight="1">
      <c r="A59" s="11" t="inlineStr">
        <is>
          <t>7.6</t>
        </is>
      </c>
      <c r="B59" s="11" t="inlineStr">
        <is>
          <t>Final proofread, export, submit early</t>
        </is>
      </c>
      <c r="C59" s="11" t="inlineStr">
        <is>
          <t>Submitted before deadline</t>
        </is>
      </c>
      <c r="D59" s="19" t="inlineStr">
        <is>
          <t>M1</t>
        </is>
      </c>
      <c r="E59" s="19" t="inlineStr">
        <is>
          <t>M2</t>
        </is>
      </c>
      <c r="F59" s="19" t="n">
        <v>7</v>
      </c>
      <c r="G59" s="19" t="n">
        <v>7</v>
      </c>
      <c r="H59" s="19" t="n">
        <v>1</v>
      </c>
      <c r="I59" s="11" t="inlineStr">
        <is>
          <t>7.5</t>
        </is>
      </c>
      <c r="J59" s="10" t="inlineStr">
        <is>
          <t>Not started</t>
        </is>
      </c>
      <c r="K59" s="11">
        <f>IF(AND(1&gt;=$F59,1&lt;=$G59),$D59,"")</f>
        <v/>
      </c>
      <c r="L59" s="11">
        <f>IF(AND(2&gt;=$F59,2&lt;=$G59),$D59,"")</f>
        <v/>
      </c>
      <c r="M59" s="11">
        <f>IF(AND(3&gt;=$F59,3&lt;=$G59),$D59,"")</f>
        <v/>
      </c>
      <c r="N59" s="11">
        <f>IF(AND(4&gt;=$F59,4&lt;=$G59),$D59,"")</f>
        <v/>
      </c>
      <c r="O59" s="11">
        <f>IF(AND(5&gt;=$F59,5&lt;=$G59),$D59,"")</f>
        <v/>
      </c>
      <c r="P59" s="11">
        <f>IF(AND(6&gt;=$F59,6&lt;=$G59),$D59,"")</f>
        <v/>
      </c>
      <c r="Q59" s="11">
        <f>IF(AND(7&gt;=$F59,7&lt;=$G59),$D59,"")</f>
        <v/>
      </c>
    </row>
    <row r="61">
      <c r="A61" s="3" t="inlineStr">
        <is>
          <t>Daily checkpoints (end of day)</t>
        </is>
      </c>
    </row>
    <row r="62">
      <c r="B62" s="2" t="inlineStr">
        <is>
          <t>D1: exhibits clean, issue tree agreed, rules confirmed</t>
        </is>
      </c>
    </row>
    <row r="63">
      <c r="B63" s="2" t="inlineStr">
        <is>
          <t>D2: gap heat map, root cause, vision draft, benchmarks started</t>
        </is>
      </c>
    </row>
    <row r="64">
      <c r="B64" s="2" t="inlineStr">
        <is>
          <t>D3: idea + pilot area LOCKED, system diagram, storyline skeleton</t>
        </is>
      </c>
    </row>
    <row r="65">
      <c r="B65" s="2" t="inlineStr">
        <is>
          <t>D4: day-in-the-life, mechanism, model updated, roadmap draft</t>
        </is>
      </c>
    </row>
    <row r="66">
      <c r="B66" s="2" t="inlineStr">
        <is>
          <t>D5: full draft deck, simulation re-run, red-team started</t>
        </is>
      </c>
    </row>
    <row r="67">
      <c r="B67" s="2" t="inlineStr">
        <is>
          <t>D6: exec summary, appendix, speaker script, design pass</t>
        </is>
      </c>
    </row>
    <row r="68">
      <c r="B68" s="2" t="inlineStr">
        <is>
          <t>D7: numbers tied out, Q&amp;A drilled, two mocks, submit early</t>
        </is>
      </c>
    </row>
    <row r="70">
      <c r="A70" s="3" t="inlineStr">
        <is>
          <t>Speaker split (adjust % to the official time limit)</t>
        </is>
      </c>
    </row>
    <row r="71">
      <c r="A71" s="8" t="inlineStr"/>
      <c r="B71" s="8" t="inlineStr">
        <is>
          <t>Section</t>
        </is>
      </c>
      <c r="C71" s="8" t="inlineStr">
        <is>
          <t>Speaker</t>
        </is>
      </c>
      <c r="D71" s="8" t="inlineStr">
        <is>
          <t>Share of time</t>
        </is>
      </c>
    </row>
    <row r="72">
      <c r="B72" s="11" t="inlineStr">
        <is>
          <t>Opening, situation, root cause, 2030 vision (SQ1)</t>
        </is>
      </c>
      <c r="C72" s="4" t="inlineStr">
        <is>
          <t>M1</t>
        </is>
      </c>
      <c r="D72" s="20" t="n">
        <v>0.25</v>
      </c>
    </row>
    <row r="73">
      <c r="B73" s="11" t="inlineStr">
        <is>
          <t>The idea, how it works, day in the life, mindset &amp; knowledge (SQ2)</t>
        </is>
      </c>
      <c r="C73" s="4" t="inlineStr">
        <is>
          <t>M2</t>
        </is>
      </c>
      <c r="D73" s="20" t="n">
        <v>0.3</v>
      </c>
    </row>
    <row r="74">
      <c r="B74" s="11" t="inlineStr">
        <is>
          <t>Roadmap, capability, risks (SQ3)</t>
        </is>
      </c>
      <c r="C74" s="4" t="inlineStr">
        <is>
          <t>M2</t>
        </is>
      </c>
      <c r="D74" s="20" t="n">
        <v>0.1</v>
      </c>
    </row>
    <row r="75">
      <c r="B75" s="11" t="inlineStr">
        <is>
          <t>Financial impact, simulation proof, KPIs (SQ4)</t>
        </is>
      </c>
      <c r="C75" s="4" t="inlineStr">
        <is>
          <t>M3</t>
        </is>
      </c>
      <c r="D75" s="20" t="n">
        <v>0.25</v>
      </c>
    </row>
    <row r="76">
      <c r="B76" s="11" t="inlineStr">
        <is>
          <t>Close and the decision we ask TMMIN to take</t>
        </is>
      </c>
      <c r="C76" s="4" t="inlineStr">
        <is>
          <t>M1</t>
        </is>
      </c>
      <c r="D76" s="20" t="n">
        <v>0.1</v>
      </c>
    </row>
    <row r="77">
      <c r="B77" s="3" t="inlineStr">
        <is>
          <t>Check (must be 100%)</t>
        </is>
      </c>
      <c r="D77" s="21">
        <f>SUM(D72:D76)</f>
        <v/>
      </c>
    </row>
    <row r="78">
      <c r="B78" s="2" t="inlineStr">
        <is>
          <t>Q&amp;A rule: the owner of the slide answers first; the lead routes questions and closes. Never two people talking at once.</t>
        </is>
      </c>
    </row>
  </sheetData>
  <conditionalFormatting sqref="K5:Q7">
    <cfRule type="cellIs" priority="1" operator="greaterThan" dxfId="0">
      <formula>6.5</formula>
    </cfRule>
    <cfRule type="cellIs" priority="2" operator="between" dxfId="1">
      <formula>5</formula>
      <formula>6.5</formula>
    </cfRule>
  </conditionalFormatting>
  <conditionalFormatting sqref="K13:Q59">
    <cfRule type="cellIs" priority="3" operator="equal" dxfId="2">
      <formula>"M1"</formula>
    </cfRule>
    <cfRule type="cellIs" priority="4" operator="equal" dxfId="3">
      <formula>"M2"</formula>
    </cfRule>
    <cfRule type="cellIs" priority="5" operator="equal" dxfId="4">
      <formula>"M3"</formula>
    </cfRule>
  </conditionalFormatting>
  <conditionalFormatting sqref="J13:J59">
    <cfRule type="cellIs" priority="6" operator="equal" dxfId="5">
      <formula>"Done"</formula>
    </cfRule>
  </conditionalFormatting>
  <dataValidations count="1">
    <dataValidation sqref="J13:J59" showDropDown="0" showInputMessage="0" showErrorMessage="0" allowBlank="1" type="list">
      <formula1>"Not started,In progress,Done,Blocked"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6" customWidth="1" min="1" max="1"/>
    <col width="30" customWidth="1" min="2" max="2"/>
    <col width="70" customWidth="1" min="3" max="3"/>
    <col width="26" customWidth="1" min="4" max="4"/>
    <col width="18" customWidth="1" min="5" max="5"/>
    <col width="34" customWidth="1" min="6" max="6"/>
  </cols>
  <sheetData>
    <row r="1">
      <c r="A1" s="1" t="inlineStr">
        <is>
          <t>How to answer each sub-question</t>
        </is>
      </c>
    </row>
    <row r="3">
      <c r="A3" s="8" t="inlineStr">
        <is>
          <t>Section</t>
        </is>
      </c>
      <c r="B3" s="8" t="inlineStr">
        <is>
          <t>What judges look for</t>
        </is>
      </c>
      <c r="C3" s="8" t="inlineStr">
        <is>
          <t>How to answer (steps)</t>
        </is>
      </c>
      <c r="D3" s="8" t="inlineStr">
        <is>
          <t>Data to use</t>
        </is>
      </c>
      <c r="E3" s="8" t="inlineStr">
        <is>
          <t>Model tab</t>
        </is>
      </c>
      <c r="F3" s="8" t="inlineStr">
        <is>
          <t>Traps to avoid</t>
        </is>
      </c>
    </row>
    <row r="4" ht="150" customHeight="1">
      <c r="A4" s="22" t="inlineStr">
        <is>
          <t>Executive summary (1 slide)</t>
        </is>
      </c>
      <c r="B4" s="23" t="inlineStr">
        <is>
          <t>One clear answer in 30 seconds: the idea, why now, impact, investment, ask.</t>
        </is>
      </c>
      <c r="C4" s="23" t="inlineStr">
        <is>
          <t>Write it LAST but draft it on Day 3. Situation (cost index 106 vs 89, multi-pathway coming) -&gt; Complication (open loops in quality, data, knowledge) -&gt; Answer (your one system) -&gt; Impact (NPV, index, months) -&gt; Roadmap headline.</t>
        </is>
      </c>
      <c r="D4" s="23" t="inlineStr">
        <is>
          <t>Exhibit 3, Dashboard</t>
        </is>
      </c>
      <c r="E4" s="23" t="inlineStr">
        <is>
          <t>Dashboard</t>
        </is>
      </c>
      <c r="F4" s="23" t="inlineStr">
        <is>
          <t>Listing 5 ideas; burying the number; no single name for the idea.</t>
        </is>
      </c>
    </row>
    <row r="5" ht="150" customHeight="1">
      <c r="A5" s="22" t="inlineStr">
        <is>
          <t>SQ1. Future manufacturing vision &amp; biggest gaps</t>
        </is>
      </c>
      <c r="B5" s="23" t="inlineStr">
        <is>
          <t>A vivid 2030 picture that goes BEYOND lower cost, and a prioritized, evidence-based gap.</t>
        </is>
      </c>
      <c r="C5" s="23" t="inlineStr">
        <is>
          <t>1) Write a 2030 vision statement (people + technology + flexibility). 2) Define 'new value' beyond cost: speed to launch variants, knowledge that compounds, engaged people. 3) Build a gap heat map: process (Exhibit 5) x impact on cost &amp; quality (Exhibit 4). 4) Show the gap is BETWEEN processes (integration, data, feedback). 5) Pick 1-2 priority gaps.</t>
        </is>
      </c>
      <c r="D5" s="23" t="inlineStr">
        <is>
          <t>Exhibits 3, 4, 5, 8</t>
        </is>
      </c>
      <c r="E5" s="23" t="inlineStr">
        <is>
          <t>Exhibits</t>
        </is>
      </c>
      <c r="F5" s="23" t="inlineStr">
        <is>
          <t>Vision that is just a list of technologies; ignoring that the case says the gap lies between processes.</t>
        </is>
      </c>
    </row>
    <row r="6" ht="150" customHeight="1">
      <c r="A6" s="22" t="inlineStr">
        <is>
          <t>SQ2. Transformative idea</t>
        </is>
      </c>
      <c r="B6" s="23" t="inlineStr">
        <is>
          <t>How manufacturing itself changes; people stay at the center; mindset shift; know-how becomes shared knowledge.</t>
        </is>
      </c>
      <c r="C6" s="23" t="inlineStr">
        <is>
          <t>1) Name the idea and show ONE system diagram. 2) Walk through a 'day in the life' of an operator and an engineer before vs after. 3) Explain the mindset shift (operate &amp; maintain -&gt; improve &amp; transform) and the mechanism that drives it (time freed, idea channel, recognition). 4) Show how know-how is captured, validated, reused. 5) Explain in-house vs partner logic. 6) Anchor every element in a TPS principle.</t>
        </is>
      </c>
      <c r="D6" s="23" t="inlineStr">
        <is>
          <t>Exhibits 6A, 6B, 7; Ideation tab</t>
        </is>
      </c>
      <c r="E6" s="23" t="inlineStr">
        <is>
          <t>Ideation</t>
        </is>
      </c>
      <c r="F6" s="23" t="inlineStr">
        <is>
          <t>Recommending a product/device; AI replacing people; no answer to the 31% who override alerts.</t>
        </is>
      </c>
    </row>
    <row r="7" ht="150" customHeight="1">
      <c r="A7" s="22" t="inlineStr">
        <is>
          <t>SQ3. Roadmap &amp; capability building</t>
        </is>
      </c>
      <c r="B7" s="23" t="inlineStr">
        <is>
          <t>Credible phasing 2026-2030 with pilot, standardization, rollout, talent, partners, risks.</t>
        </is>
      </c>
      <c r="C7" s="23" t="inlineStr">
        <is>
          <t>1) Phase 0 (Q4 2026): build on AI camera validation; choose pilot area; set data standard. 2) Pilot (2027) with go/no-go KPIs. 3) Standardize (2028). 4) Roll out (2029-30). 5) Talent: tiered academy moving engineers up Exhibit 7 levels, operator data training. 6) Partners only where they add distinctive value. 7) Risk register with mitigations.</t>
        </is>
      </c>
      <c r="D7" s="23" t="inlineStr">
        <is>
          <t>Exhibits 5, 6A, 7; Roadmap tab</t>
        </is>
      </c>
      <c r="E7" s="23" t="inlineStr">
        <is>
          <t>Roadmap, KPIs</t>
        </is>
      </c>
      <c r="F7" s="23" t="inlineStr">
        <is>
          <t>Everything starting in year 1; no gate criteria; no owner; ignoring training (18% trained).</t>
        </is>
      </c>
    </row>
    <row r="8" ht="150" customHeight="1">
      <c r="A8" s="22" t="inlineStr">
        <is>
          <t>SQ4. Competitive &amp; financial impact</t>
        </is>
      </c>
      <c r="B8" s="23" t="inlineStr">
        <is>
          <t>Impact on cost, quality, time, flexibility, capability; investment; KPIs. Numbers must be traceable.</t>
        </is>
      </c>
      <c r="C8" s="23" t="inlineStr">
        <is>
          <t>1) Bottom-up savings by lever (Model tab). 2) Investment inside Rp40-120B. 3) NPV at 10%, payback, IRR, 3 scenarios. 4) Break-even framing (Breakeven tab). 5) Translate to cost index vs benchmark. 6) Non-financial impact: months per variant, ramp-up time, ideas, skills. 7) KPI tree with baselines and targets.</t>
        </is>
      </c>
      <c r="D8" s="23" t="inlineStr">
        <is>
          <t>Exhibit 9, 3, 4; Model, Dashboard, Breakeven, KPIs</t>
        </is>
      </c>
      <c r="E8" s="23" t="inlineStr">
        <is>
          <t>Model, Dashboard</t>
        </is>
      </c>
      <c r="F8" s="23" t="inlineStr">
        <is>
          <t>Claiming 100% of the gap; ignoring running and training cost; no sensitivity; unlabeled assumptions.</t>
        </is>
      </c>
    </row>
    <row r="9" ht="150" customHeight="1">
      <c r="A9" s="22" t="inlineStr">
        <is>
          <t>Q&amp;A preparation</t>
        </is>
      </c>
      <c r="B9" s="23" t="inlineStr">
        <is>
          <t>Calm, data-backed answers; shows the team owns the logic.</t>
        </is>
      </c>
      <c r="C9" s="23" t="inlineStr">
        <is>
          <t>Prepare answers for: Why this pilot area? What if operators resist? Why in-house, not buy? What if the AI camera fails validation? How do you avoid job losses? What happens in the aggressive BEV scenario? Which assumption hurts NPV most? How does this differ from what Toyota Japan already does?</t>
        </is>
      </c>
      <c r="D9" s="23" t="inlineStr">
        <is>
          <t>All</t>
        </is>
      </c>
      <c r="E9" s="23" t="inlineStr">
        <is>
          <t>Breakeven (sensitivity)</t>
        </is>
      </c>
      <c r="F9" s="23" t="inlineStr">
        <is>
          <t>One person answering everything; arguing with judges.</t>
        </is>
      </c>
    </row>
    <row r="12">
      <c r="A12" s="3" t="inlineStr">
        <is>
          <t>Suggested deck storyline (fill [ ] with your numbers; titles must read as a story on their own)</t>
        </is>
      </c>
    </row>
    <row r="13">
      <c r="A13" s="8" t="inlineStr">
        <is>
          <t>#</t>
        </is>
      </c>
      <c r="B13" s="8" t="inlineStr">
        <is>
          <t>Slide</t>
        </is>
      </c>
      <c r="C13" s="8" t="inlineStr">
        <is>
          <t>Example action title / content</t>
        </is>
      </c>
      <c r="D13" s="8" t="inlineStr">
        <is>
          <t>Owner</t>
        </is>
      </c>
    </row>
    <row r="14">
      <c r="A14" s="22" t="inlineStr">
        <is>
          <t>1</t>
        </is>
      </c>
      <c r="B14" s="23" t="inlineStr">
        <is>
          <t>Title</t>
        </is>
      </c>
      <c r="C14" s="23" t="inlineStr">
        <is>
          <t>Idea name + one-line promise</t>
        </is>
      </c>
      <c r="D14" s="23" t="inlineStr">
        <is>
          <t>M1</t>
        </is>
      </c>
    </row>
    <row r="15">
      <c r="A15" s="22" t="inlineStr">
        <is>
          <t>2</t>
        </is>
      </c>
      <c r="B15" s="23" t="inlineStr">
        <is>
          <t>Executive summary</t>
        </is>
      </c>
      <c r="C15" s="23" t="inlineStr">
        <is>
          <t>TMMIN can close [x]% of its cost gap and cut variant changeover from 9 to [x] months by making the plant learn from itself</t>
        </is>
      </c>
      <c r="D15" s="23" t="inlineStr">
        <is>
          <t>M1</t>
        </is>
      </c>
    </row>
    <row r="16">
      <c r="A16" s="22" t="inlineStr">
        <is>
          <t>3</t>
        </is>
      </c>
      <c r="B16" s="23" t="inlineStr">
        <is>
          <t>Situation</t>
        </is>
      </c>
      <c r="C16" s="23" t="inlineStr">
        <is>
          <t>Market fell 7% while new players run [~19]% cheaper per unit</t>
        </is>
      </c>
      <c r="D16" s="23" t="inlineStr">
        <is>
          <t>M1</t>
        </is>
      </c>
    </row>
    <row r="17">
      <c r="A17" s="22" t="inlineStr">
        <is>
          <t>4</t>
        </is>
      </c>
      <c r="B17" s="23" t="inlineStr">
        <is>
          <t>Complication</t>
        </is>
      </c>
      <c r="C17" s="23" t="inlineStr">
        <is>
          <t>Multi-pathway mix lifts electrified share to [55-70]% by 2030, but every variant still costs ~9 months of rework</t>
        </is>
      </c>
      <c r="D17" s="23" t="inlineStr">
        <is>
          <t>M1</t>
        </is>
      </c>
    </row>
    <row r="18">
      <c r="A18" s="22" t="inlineStr">
        <is>
          <t>5</t>
        </is>
      </c>
      <c r="B18" s="23" t="inlineStr">
        <is>
          <t>Root cause</t>
        </is>
      </c>
      <c r="C18" s="23" t="inlineStr">
        <is>
          <t>The real gap sits between processes: quality, data and know-how loops are open</t>
        </is>
      </c>
      <c r="D18" s="23" t="inlineStr">
        <is>
          <t>M2</t>
        </is>
      </c>
    </row>
    <row r="19">
      <c r="A19" s="22" t="inlineStr">
        <is>
          <t>6</t>
        </is>
      </c>
      <c r="B19" s="23" t="inlineStr">
        <is>
          <t>2030 vision (SQ1)</t>
        </is>
      </c>
      <c r="C19" s="23" t="inlineStr">
        <is>
          <t>In 2030 TMMIN's advantage is a production system that learns, not one that is bought</t>
        </is>
      </c>
      <c r="D19" s="23" t="inlineStr">
        <is>
          <t>M1</t>
        </is>
      </c>
    </row>
    <row r="20">
      <c r="A20" s="22" t="inlineStr">
        <is>
          <t>7</t>
        </is>
      </c>
      <c r="B20" s="23" t="inlineStr">
        <is>
          <t>Gap prioritization (SQ1)</t>
        </is>
      </c>
      <c r="C20" s="23" t="inlineStr">
        <is>
          <t>[Pilot area] is where the open loops cost the most</t>
        </is>
      </c>
      <c r="D20" s="23" t="inlineStr">
        <is>
          <t>M2</t>
        </is>
      </c>
    </row>
    <row r="21">
      <c r="A21" s="22" t="inlineStr">
        <is>
          <t>8</t>
        </is>
      </c>
      <c r="B21" s="23" t="inlineStr">
        <is>
          <t>The idea (SQ2)</t>
        </is>
      </c>
      <c r="C21" s="23" t="inlineStr">
        <is>
          <t>[Idea name]: three closed loops with people at the center</t>
        </is>
      </c>
      <c r="D21" s="23" t="inlineStr">
        <is>
          <t>M2</t>
        </is>
      </c>
    </row>
    <row r="22">
      <c r="A22" s="22" t="inlineStr">
        <is>
          <t>9</t>
        </is>
      </c>
      <c r="B22" s="23" t="inlineStr">
        <is>
          <t>How it works (SQ2)</t>
        </is>
      </c>
      <c r="C22" s="23" t="inlineStr">
        <is>
          <t>A day in the life: operator and engineer before vs after</t>
        </is>
      </c>
      <c r="D22" s="23" t="inlineStr">
        <is>
          <t>M2</t>
        </is>
      </c>
    </row>
    <row r="23">
      <c r="A23" s="22" t="inlineStr">
        <is>
          <t>10</t>
        </is>
      </c>
      <c r="B23" s="23" t="inlineStr">
        <is>
          <t>Mindset &amp; knowledge (SQ2)</t>
        </is>
      </c>
      <c r="C23" s="23" t="inlineStr">
        <is>
          <t>Engineers move from firefighting to improving, and know-how leaves the heads of a few experts</t>
        </is>
      </c>
      <c r="D23" s="23" t="inlineStr">
        <is>
          <t>M1</t>
        </is>
      </c>
    </row>
    <row r="24">
      <c r="A24" s="22" t="inlineStr">
        <is>
          <t>11</t>
        </is>
      </c>
      <c r="B24" s="23" t="inlineStr">
        <is>
          <t>In-house vs partners (SQ2/3)</t>
        </is>
      </c>
      <c r="C24" s="23" t="inlineStr">
        <is>
          <t>Build what differentiates, partner where partners add distinctive value</t>
        </is>
      </c>
      <c r="D24" s="23" t="inlineStr">
        <is>
          <t>M2</t>
        </is>
      </c>
    </row>
    <row r="25">
      <c r="A25" s="22" t="inlineStr">
        <is>
          <t>12</t>
        </is>
      </c>
      <c r="B25" s="23" t="inlineStr">
        <is>
          <t>Roadmap (SQ3)</t>
        </is>
      </c>
      <c r="C25" s="23" t="inlineStr">
        <is>
          <t>Pilot in 2027, standardize in 2028, plant-wide by 2030 with clear gates</t>
        </is>
      </c>
      <c r="D25" s="23" t="inlineStr">
        <is>
          <t>M2</t>
        </is>
      </c>
    </row>
    <row r="26">
      <c r="A26" s="22" t="inlineStr">
        <is>
          <t>13</t>
        </is>
      </c>
      <c r="B26" s="23" t="inlineStr">
        <is>
          <t>Capability building (SQ3)</t>
        </is>
      </c>
      <c r="C26" s="23" t="inlineStr">
        <is>
          <t>[x] engineers reach Software &amp; AI level 3+ by 2030 through a tiered academy</t>
        </is>
      </c>
      <c r="D26" s="23" t="inlineStr">
        <is>
          <t>M3</t>
        </is>
      </c>
    </row>
    <row r="27">
      <c r="A27" s="22" t="inlineStr">
        <is>
          <t>14</t>
        </is>
      </c>
      <c r="B27" s="23" t="inlineStr">
        <is>
          <t>Financials (SQ4)</t>
        </is>
      </c>
      <c r="C27" s="23" t="inlineStr">
        <is>
          <t>Rp[x]B investment returns NPV of Rp[x]B; break-even needs only [x]% of the gap closed</t>
        </is>
      </c>
      <c r="D27" s="23" t="inlineStr">
        <is>
          <t>M3</t>
        </is>
      </c>
    </row>
    <row r="28">
      <c r="A28" s="22" t="inlineStr">
        <is>
          <t>15</t>
        </is>
      </c>
      <c r="B28" s="23" t="inlineStr">
        <is>
          <t>KPIs (SQ4)</t>
        </is>
      </c>
      <c r="C28" s="23" t="inlineStr">
        <is>
          <t>[x] KPIs track outcomes and the people/knowledge drivers behind them</t>
        </is>
      </c>
      <c r="D28" s="23" t="inlineStr">
        <is>
          <t>M3</t>
        </is>
      </c>
    </row>
    <row r="29">
      <c r="A29" s="22" t="inlineStr">
        <is>
          <t>16</t>
        </is>
      </c>
      <c r="B29" s="23" t="inlineStr">
        <is>
          <t>Risks</t>
        </is>
      </c>
      <c r="C29" s="23" t="inlineStr">
        <is>
          <t>Main risks are adoption and data quality, and each has a mitigation and an owner</t>
        </is>
      </c>
      <c r="D29" s="23" t="inlineStr">
        <is>
          <t>M1</t>
        </is>
      </c>
    </row>
    <row r="30">
      <c r="A30" s="22" t="inlineStr">
        <is>
          <t>17</t>
        </is>
      </c>
      <c r="B30" s="23" t="inlineStr">
        <is>
          <t>Close</t>
        </is>
      </c>
      <c r="C30" s="23" t="inlineStr">
        <is>
          <t>Recap + the decision you want TMMIN to take now</t>
        </is>
      </c>
      <c r="D30" s="23" t="inlineStr">
        <is>
          <t>M1</t>
        </is>
      </c>
    </row>
    <row r="31">
      <c r="A31" s="22" t="inlineStr">
        <is>
          <t>App.</t>
        </is>
      </c>
      <c r="B31" s="23" t="inlineStr">
        <is>
          <t>Appendix</t>
        </is>
      </c>
      <c r="C31" s="23" t="inlineStr">
        <is>
          <t>Assumptions list, sensitivity, alternatives considered (Ideation), exhibit re-type, methodology</t>
        </is>
      </c>
      <c r="D31" s="23" t="inlineStr">
        <is>
          <t>M3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6" customWidth="1" min="1" max="1"/>
    <col width="28" customWidth="1" min="2" max="2"/>
    <col width="52" customWidth="1" min="3" max="3"/>
    <col width="36" customWidth="1" min="4" max="4"/>
    <col width="22" customWidth="1" min="5" max="5"/>
    <col width="32" customWidth="1" min="6" max="6"/>
    <col width="30" customWidth="1" min="7" max="7"/>
    <col width="30" customWidth="1" min="8" max="8"/>
    <col width="60" customWidth="1" min="9" max="9"/>
    <col width="10" customWidth="1" min="10" max="10"/>
  </cols>
  <sheetData>
    <row r="1">
      <c r="A1" s="1" t="inlineStr">
        <is>
          <t>Idea options: generate, compare, then combine into ONE system</t>
        </is>
      </c>
    </row>
    <row r="2">
      <c r="A2" s="3" t="inlineStr">
        <is>
          <t>Case rule: the answer must change HOW manufacturing works (process, ways of working, people, knowledge), not recommend a product or machine.</t>
        </is>
      </c>
    </row>
    <row r="4">
      <c r="A4" s="8" t="inlineStr">
        <is>
          <t>#</t>
        </is>
      </c>
      <c r="B4" s="8" t="inlineStr">
        <is>
          <t>Idea</t>
        </is>
      </c>
      <c r="C4" s="8" t="inlineStr">
        <is>
          <t>How manufacturing changes</t>
        </is>
      </c>
      <c r="D4" s="8" t="inlineStr">
        <is>
          <t>Case gaps it closes</t>
        </is>
      </c>
      <c r="E4" s="8" t="inlineStr">
        <is>
          <t>TPS anchor</t>
        </is>
      </c>
      <c r="F4" s="8" t="inlineStr">
        <is>
          <t>Public Toyota precedent</t>
        </is>
      </c>
      <c r="G4" s="8" t="inlineStr">
        <is>
          <t>Strength</t>
        </is>
      </c>
      <c r="H4" s="8" t="inlineStr">
        <is>
          <t>Risk / weakness</t>
        </is>
      </c>
      <c r="I4" s="8" t="inlineStr">
        <is>
          <t>References &amp; evidence (cite in deck)</t>
        </is>
      </c>
    </row>
    <row r="5" ht="150" customHeight="1">
      <c r="A5" s="22" t="inlineStr">
        <is>
          <t>A</t>
        </is>
      </c>
      <c r="B5" s="23" t="inlineStr">
        <is>
          <t>Closed-Loop Jidoka ("Self-Healing Line")</t>
        </is>
      </c>
      <c r="C5" s="23" t="inlineStr">
        <is>
          <t>Every abnormality detected anywhere (AI inspection, sensors, operator) is routed automatically to the upstream process that caused it, with a clear stop / correct / escalate rule. Operators confirm and fix; the line learns.</t>
        </is>
      </c>
      <c r="D5" s="23" t="inlineStr">
        <is>
          <t>Inspection L1, sealer with no feedback, defects found late, scrap up, 31% override alerts</t>
        </is>
      </c>
      <c r="E5" s="23" t="inlineStr">
        <is>
          <t>Jidoka, andon, built-in quality</t>
        </is>
      </c>
      <c r="F5" s="23" t="inlineStr">
        <is>
          <t>Toyota Japan uses worker-built AI models for adhesive-application inspection</t>
        </is>
      </c>
      <c r="G5" s="23" t="inlineStr">
        <is>
          <t>Strong cost + quality story; uses the Oct 2026 AI camera as a building block</t>
        </is>
      </c>
      <c r="H5" s="23" t="inlineStr">
        <is>
          <t>Needs data integration first; alert fatigue if poorly designed</t>
        </is>
      </c>
      <c r="I5" s="23" t="inlineStr">
        <is>
          <t>Google Cloud (2024) Toyota AI Platform: https://cloud.google.com/blog/topics/hybrid-cloud/toyota-ai-platform-manufacturing-efficiency
DigitalDefynd (2026) 10 ways Toyota uses AI: https://digitaldefynd.com/IQ/toyota-using-ai-case-study/
The Future Factory (2026) TPS in the age of AI: https://www.thefuturefactory.com/insights/toyota-production-system-age-of-ai
Own test: Simulation tab (closed-loop quality sim + Monte Carlo)</t>
        </is>
      </c>
    </row>
    <row r="6" ht="150" customHeight="1">
      <c r="A6" s="22" t="inlineStr">
        <is>
          <t>B</t>
        </is>
      </c>
      <c r="B6" s="23" t="inlineStr">
        <is>
          <t>Plug-and-Produce Plant Standard (in-house)</t>
        </is>
      </c>
      <c r="C6" s="23" t="inlineStr">
        <is>
          <t>TMMIN defines one common interface + data standard; every new or modified equipment plugs into it. In-house engineers build standard equipment and apps on top. Variant change becomes configuration, not rewiring.</t>
        </is>
      </c>
      <c r="D6" s="23" t="inlineStr">
        <is>
          <t>Point-to-point integration, 9-month modification, scattered data, costly closed external tech</t>
        </is>
      </c>
      <c r="E6" s="23" t="inlineStr">
        <is>
          <t>Standardized work applied to equipment; heijunka for mixed models</t>
        </is>
      </c>
      <c r="F6" s="23" t="inlineStr">
        <is>
          <t>Toyota insources equipment tech (self-propelled conveyance at Motomachi)</t>
        </is>
      </c>
      <c r="G6" s="23" t="inlineStr">
        <is>
          <t>Direct answer to multi-pathway flexibility and in-house capability</t>
        </is>
      </c>
      <c r="H6" s="23" t="inlineStr">
        <is>
          <t>Less emotional / people story on its own; standard-setting takes discipline</t>
        </is>
      </c>
      <c r="I6" s="23" t="inlineStr">
        <is>
          <t>Toyota (2023) Monozukuri tech, in-house self-propelled conveyance: https://global.toyota/en/newsroom/corporate/39758451.html
Toyota (2023) BEV production process, halve prep lead time &amp; investment: https://global.toyota/en/newsroom/corporate/39330500.html
Case: point-to-point integration, 9-month modification (Exhibits 4, 5)</t>
        </is>
      </c>
    </row>
    <row r="7" ht="150" customHeight="1">
      <c r="A7" s="22" t="inlineStr">
        <is>
          <t>C</t>
        </is>
      </c>
      <c r="B7" s="23" t="inlineStr">
        <is>
          <t>Citizen Kaizen AI Platform</t>
        </is>
      </c>
      <c r="C7" s="23" t="inlineStr">
        <is>
          <t>Team leaders and operators build simple AI / data tools themselves through a no-code platform, plus an easy idea channel with fast engineer support. Engineers become coaches and platform owners.</t>
        </is>
      </c>
      <c r="D7" s="23" t="inlineStr">
        <is>
          <t>Ideas down 3.1-&gt;2.4, implementation 35%-&gt;28%, 62% would contribute with an easy channel, 18% trained</t>
        </is>
      </c>
      <c r="E7" s="23" t="inlineStr">
        <is>
          <t>Kaizen, respect for people</t>
        </is>
      </c>
      <c r="F7" s="23" t="inlineStr">
        <is>
          <t>Toyota AI Platform: ~10,000 models built by factory staff, ~1,200 active users</t>
        </is>
      </c>
      <c r="G7" s="23" t="inlineStr">
        <is>
          <t>Most human-centered; scales kaizen; very Toyota</t>
        </is>
      </c>
      <c r="H7" s="23" t="inlineStr">
        <is>
          <t>Needs governance (model quality, safety); training load</t>
        </is>
      </c>
      <c r="I7" s="23" t="inlineStr">
        <is>
          <t>Google Cloud (2024) Toyota AI Platform: https://cloud.google.com/blog/topics/hybrid-cloud/toyota-ai-platform-manufacturing-efficiency
Chief AI Officer (2025) 10,000 models / 10,000 hrs: https://chiefaiofficer.com/blog/how-toyota-gave-ai-tools-to-factory-workers-and-saved-10000-hours/
Case Exhibit 6B: 62% would contribute ideas with an easy channel</t>
        </is>
      </c>
    </row>
    <row r="8" ht="150" customHeight="1">
      <c r="A8" s="22" t="inlineStr">
        <is>
          <t>D</t>
        </is>
      </c>
      <c r="B8" s="23" t="inlineStr">
        <is>
          <t>Shop-Floor O-Beya ("Digital Sensei")</t>
        </is>
      </c>
      <c r="C8" s="23" t="inlineStr">
        <is>
          <t>Capture senior experts' troubleshooting and process know-how into shared standards and an AI assistant that new engineers and team leaders consult. Experts validate content; it becomes living standard work.</t>
        </is>
      </c>
      <c r="D8" s="23" t="inlineStr">
        <is>
          <t>Know-how with 1-2 seniors, low documentation, 15-month ramp-up, engineers stuck firefighting</t>
        </is>
      </c>
      <c r="E8" s="23" t="inlineStr">
        <is>
          <t>Yokoten (horizontal deployment), standardized work, hansei</t>
        </is>
      </c>
      <c r="F8" s="23" t="inlineStr">
        <is>
          <t>Toyota O-Beya: 9 AI agents for ~800 powertrain engineers</t>
        </is>
      </c>
      <c r="G8" s="23" t="inlineStr">
        <is>
          <t>Cheap, fast to pilot, addresses knowledge and talent directly</t>
        </is>
      </c>
      <c r="H8" s="23" t="inlineStr">
        <is>
          <t>Weaker direct cost impact; content quality depends on seniors' time</t>
        </is>
      </c>
      <c r="I8" s="23" t="inlineStr">
        <is>
          <t>Microsoft Source Asia (2024) O-Beya: https://news.microsoft.com/source/asia/features/toyota-is-deploying-ai-agents-to-harness-the-collective-wisdom-of-engineers-and-innovate-faster/
ABI Research (2025) O-Beya knowledge mgmt: https://www.abiresearch.com/market-research/insight/7786905-toyotas-o-beya-provides-best-practices-for
Aicadium (2026) Lean to AI, GAIA + 100-course academy: https://aicadium.ai/lean-to-ai-what-toyotas-transformation-looks-like-today/
Case Exhibit 6A: know-how with 1-2 seniors, 15-month ramp-up</t>
        </is>
      </c>
    </row>
    <row r="9" ht="150" customHeight="1">
      <c r="A9" s="22" t="inlineStr">
        <is>
          <t>E</t>
        </is>
      </c>
      <c r="B9" s="23" t="inlineStr">
        <is>
          <t>Simulation-First Production Preparation</t>
        </is>
      </c>
      <c r="C9" s="23" t="inlineStr">
        <is>
          <t>Every new variant / pathway is designed, balanced and debugged in a digital model of the line before physical change. Engineers own the models.</t>
        </is>
      </c>
      <c r="D9" s="23" t="inlineStr">
        <is>
          <t>9-month modification, multi-pathway mix uncertainty (Exhibit 8)</t>
        </is>
      </c>
      <c r="E9" s="23" t="inlineStr">
        <is>
          <t>Genchi genbutsu supported by virtual verification; PDCA</t>
        </is>
      </c>
      <c r="F9" s="23" t="inlineStr">
        <is>
          <t>Toyota digital process verification for next-gen BEV plants (aim: halve prep lead time)</t>
        </is>
      </c>
      <c r="G9" s="23" t="inlineStr">
        <is>
          <t>Strong flexibility + time-to-market story; fits IE skills</t>
        </is>
      </c>
      <c r="H9" s="23" t="inlineStr">
        <is>
          <t>Needs reliable data; model upkeep cost</t>
        </is>
      </c>
      <c r="I9" s="23" t="inlineStr">
        <is>
          <t>Toyota (2023) BEV production process, halve prep lead time &amp; investment: https://global.toyota/en/newsroom/corporate/39330500.html
Case Exhibit 8: electrified share 30% -&gt; 55-70%</t>
        </is>
      </c>
    </row>
    <row r="10" ht="150" customHeight="1">
      <c r="A10" s="22" t="inlineStr">
        <is>
          <t>F</t>
        </is>
      </c>
      <c r="B10" s="23" t="inlineStr">
        <is>
          <t>Conveyor-Light Flexible Line + Synchronized Intralogistics</t>
        </is>
      </c>
      <c r="C10" s="23" t="inlineStr">
        <is>
          <t>Redesign flow around mobile automation (AMR/AGV, self-propelled concepts) so layout and sequence adapt to the variant mix; material flow synced with production signals.</t>
        </is>
      </c>
      <c r="D10" s="23" t="inlineStr">
        <is>
          <t>Manual forklifts/dollies, flow not synchronized, NVA 22%</t>
        </is>
      </c>
      <c r="E10" s="23" t="inlineStr">
        <is>
          <t>JIT, kanban, heijunka</t>
        </is>
      </c>
      <c r="F10" s="23" t="inlineStr">
        <is>
          <t>Toyota self-propelled assembly line trials</t>
        </is>
      </c>
      <c r="G10" s="23" t="inlineStr">
        <is>
          <t>Big flexibility upside, visually impressive</t>
        </is>
      </c>
      <c r="H10" s="23" t="inlineStr">
        <is>
          <t>Capex heavy, risks reading as equipment recommendation</t>
        </is>
      </c>
      <c r="I10" s="23" t="inlineStr">
        <is>
          <t>Assembly Magazine (2023) self-propelled lines: https://www.assemblymag.com/articles/98199-toyota-outlines-future-production-processes
Toyota (2023) Monozukuri tech, in-house self-propelled conveyance: https://global.toyota/en/newsroom/corporate/39758451.html</t>
        </is>
      </c>
    </row>
    <row r="11" ht="150" customHeight="1">
      <c r="A11" s="22" t="inlineStr">
        <is>
          <t>G</t>
        </is>
      </c>
      <c r="B11" s="23" t="inlineStr">
        <is>
          <t>AI-Enabled Autonomous Maintenance (TPM 2.0)</t>
        </is>
      </c>
      <c r="C11" s="23" t="inlineStr">
        <is>
          <t>Operators and maintenance jointly own equipment health using condition data; predictive alerts with operator-led first response.</t>
        </is>
      </c>
      <c r="D11" s="23" t="inlineStr">
        <is>
          <t>Periodic preventive only, rising unplanned downtime</t>
        </is>
      </c>
      <c r="E11" s="23" t="inlineStr">
        <is>
          <t>TPM, jidoka</t>
        </is>
      </c>
      <c r="F11" s="23" t="inlineStr">
        <is>
          <t>Toyota AI Platform used for injection-moulding abnormality detection</t>
        </is>
      </c>
      <c r="G11" s="23" t="inlineStr">
        <is>
          <t>Clear downtime savings, practical</t>
        </is>
      </c>
      <c r="H11" s="23" t="inlineStr">
        <is>
          <t>Narrower scope; many competitors will propose it</t>
        </is>
      </c>
      <c r="I11" s="23" t="inlineStr">
        <is>
          <t>Google Cloud (2024) Toyota AI Platform: https://cloud.google.com/blog/topics/hybrid-cloud/toyota-ai-platform-manufacturing-efficiency
Logistics Viewpoints (2025) People + AI: https://logisticsviewpoints.com/2025/06/05/people-ai-augmenting-the-supply-chain-workforce/</t>
        </is>
      </c>
    </row>
    <row r="12" ht="150" customHeight="1">
      <c r="A12" s="22" t="inlineStr">
        <is>
          <t>H</t>
        </is>
      </c>
      <c r="B12" s="23" t="inlineStr">
        <is>
          <t>INTEGRATED: Closed-Loop Production System (A+B+C+D)</t>
        </is>
      </c>
      <c r="C12" s="23" t="inlineStr">
        <is>
          <t>One operating system with three loops: quality loop (A), data/equipment loop (B), people &amp; knowledge loop (C+D). Piloted in one area, standardized, then rolled out plant-wide.</t>
        </is>
      </c>
      <c r="D12" s="23" t="inlineStr">
        <is>
          <t>Attacks all three complications at once</t>
        </is>
      </c>
      <c r="E12" s="23" t="inlineStr">
        <is>
          <t>Jidoka + kaizen + standardization, in the digital era</t>
        </is>
      </c>
      <c r="F12" s="23" t="inlineStr">
        <is>
          <t>Combines the Toyota precedents above</t>
        </is>
      </c>
      <c r="G12" s="23" t="inlineStr">
        <is>
          <t>Best answer to 'system not product'; one memorable idea</t>
        </is>
      </c>
      <c r="H12" s="23" t="inlineStr">
        <is>
          <t>Complex to explain: needs one clean diagram and one pilot</t>
        </is>
      </c>
      <c r="I12" s="23" t="inlineStr">
        <is>
          <t>Google Cloud (2024) Toyota AI Platform: https://cloud.google.com/blog/topics/hybrid-cloud/toyota-ai-platform-manufacturing-efficiency
Microsoft Source Asia (2024) O-Beya: https://news.microsoft.com/source/asia/features/toyota-is-deploying-ai-agents-to-harness-the-collective-wisdom-of-engineers-and-innovate-faster/
Toyota (2023) Monozukuri tech, in-house self-propelled conveyance: https://global.toyota/en/newsroom/corporate/39758451.html
Aicadium (2026) Lean to AI, GAIA + 100-course academy: https://aicadium.ai/lean-to-ai-what-toyotas-transformation-looks-like-today/
Own test: Simulation tab (closed-loop quality sim + Monte Carlo)</t>
        </is>
      </c>
    </row>
    <row r="15">
      <c r="A15" s="3" t="inlineStr">
        <is>
          <t>Scoring matrix (scores 1-5 are suggestions: re-score as a team on Day 3)</t>
        </is>
      </c>
    </row>
    <row r="16">
      <c r="A16" s="8" t="inlineStr">
        <is>
          <t>#</t>
        </is>
      </c>
      <c r="B16" s="8" t="inlineStr">
        <is>
          <t>Idea</t>
        </is>
      </c>
      <c r="C16" s="8" t="inlineStr">
        <is>
          <t>Cost &amp; quality impact</t>
        </is>
      </c>
      <c r="D16" s="8" t="inlineStr">
        <is>
          <t>Multi-pathway flexibility</t>
        </is>
      </c>
      <c r="E16" s="8" t="inlineStr">
        <is>
          <t>People at the center / knowledge</t>
        </is>
      </c>
      <c r="F16" s="8" t="inlineStr">
        <is>
          <t>Hard to buy off the shelf (in-house value)</t>
        </is>
      </c>
      <c r="G16" s="8" t="inlineStr">
        <is>
          <t>Feasible in Rp40-120B by 2030</t>
        </is>
      </c>
      <c r="H16" s="8" t="inlineStr">
        <is>
          <t>Fits case ask: system, not product</t>
        </is>
      </c>
      <c r="I16" s="8" t="inlineStr">
        <is>
          <t>Weighted score</t>
        </is>
      </c>
      <c r="J16" s="8" t="inlineStr">
        <is>
          <t>Rank</t>
        </is>
      </c>
    </row>
    <row r="17">
      <c r="B17" s="3" t="inlineStr">
        <is>
          <t>Weight</t>
        </is>
      </c>
      <c r="C17" s="24" t="n">
        <v>0.25</v>
      </c>
      <c r="D17" s="24" t="n">
        <v>0.15</v>
      </c>
      <c r="E17" s="24" t="n">
        <v>0.2</v>
      </c>
      <c r="F17" s="24" t="n">
        <v>0.15</v>
      </c>
      <c r="G17" s="24" t="n">
        <v>0.15</v>
      </c>
      <c r="H17" s="24" t="n">
        <v>0.1</v>
      </c>
      <c r="I17" s="21">
        <f>SUM(C17:H17)</f>
        <v/>
      </c>
    </row>
    <row r="18">
      <c r="A18" s="3" t="inlineStr">
        <is>
          <t>A</t>
        </is>
      </c>
      <c r="B18" s="11" t="inlineStr">
        <is>
          <t>Closed-Loop Jidoka ("Self-Healing Line")</t>
        </is>
      </c>
      <c r="C18" s="25" t="n">
        <v>5</v>
      </c>
      <c r="D18" s="25" t="n">
        <v>3</v>
      </c>
      <c r="E18" s="25" t="n">
        <v>4</v>
      </c>
      <c r="F18" s="25" t="n">
        <v>4</v>
      </c>
      <c r="G18" s="25" t="n">
        <v>4</v>
      </c>
      <c r="H18" s="25" t="n">
        <v>5</v>
      </c>
      <c r="I18" s="26">
        <f>SUMPRODUCT($C$17:$H$17,C18:H18)</f>
        <v/>
      </c>
      <c r="J18" s="2">
        <f>RANK(I18,$I$18:$I$25)</f>
        <v/>
      </c>
    </row>
    <row r="19">
      <c r="A19" s="3" t="inlineStr">
        <is>
          <t>B</t>
        </is>
      </c>
      <c r="B19" s="11" t="inlineStr">
        <is>
          <t>Plug-and-Produce Plant Standard (in-house)</t>
        </is>
      </c>
      <c r="C19" s="25" t="n">
        <v>3</v>
      </c>
      <c r="D19" s="25" t="n">
        <v>5</v>
      </c>
      <c r="E19" s="25" t="n">
        <v>3</v>
      </c>
      <c r="F19" s="25" t="n">
        <v>5</v>
      </c>
      <c r="G19" s="25" t="n">
        <v>3</v>
      </c>
      <c r="H19" s="25" t="n">
        <v>5</v>
      </c>
      <c r="I19" s="26">
        <f>SUMPRODUCT($C$17:$H$17,C19:H19)</f>
        <v/>
      </c>
      <c r="J19" s="2">
        <f>RANK(I19,$I$18:$I$25)</f>
        <v/>
      </c>
    </row>
    <row r="20">
      <c r="A20" s="3" t="inlineStr">
        <is>
          <t>C</t>
        </is>
      </c>
      <c r="B20" s="11" t="inlineStr">
        <is>
          <t>Citizen Kaizen AI Platform</t>
        </is>
      </c>
      <c r="C20" s="25" t="n">
        <v>4</v>
      </c>
      <c r="D20" s="25" t="n">
        <v>3</v>
      </c>
      <c r="E20" s="25" t="n">
        <v>5</v>
      </c>
      <c r="F20" s="25" t="n">
        <v>5</v>
      </c>
      <c r="G20" s="25" t="n">
        <v>4</v>
      </c>
      <c r="H20" s="25" t="n">
        <v>4</v>
      </c>
      <c r="I20" s="26">
        <f>SUMPRODUCT($C$17:$H$17,C20:H20)</f>
        <v/>
      </c>
      <c r="J20" s="2">
        <f>RANK(I20,$I$18:$I$25)</f>
        <v/>
      </c>
    </row>
    <row r="21">
      <c r="A21" s="3" t="inlineStr">
        <is>
          <t>D</t>
        </is>
      </c>
      <c r="B21" s="11" t="inlineStr">
        <is>
          <t>Shop-Floor O-Beya ("Digital Sensei")</t>
        </is>
      </c>
      <c r="C21" s="25" t="n">
        <v>2</v>
      </c>
      <c r="D21" s="25" t="n">
        <v>3</v>
      </c>
      <c r="E21" s="25" t="n">
        <v>5</v>
      </c>
      <c r="F21" s="25" t="n">
        <v>4</v>
      </c>
      <c r="G21" s="25" t="n">
        <v>5</v>
      </c>
      <c r="H21" s="25" t="n">
        <v>4</v>
      </c>
      <c r="I21" s="26">
        <f>SUMPRODUCT($C$17:$H$17,C21:H21)</f>
        <v/>
      </c>
      <c r="J21" s="2">
        <f>RANK(I21,$I$18:$I$25)</f>
        <v/>
      </c>
    </row>
    <row r="22">
      <c r="A22" s="3" t="inlineStr">
        <is>
          <t>E</t>
        </is>
      </c>
      <c r="B22" s="11" t="inlineStr">
        <is>
          <t>Simulation-First Production Preparation</t>
        </is>
      </c>
      <c r="C22" s="25" t="n">
        <v>3</v>
      </c>
      <c r="D22" s="25" t="n">
        <v>5</v>
      </c>
      <c r="E22" s="25" t="n">
        <v>3</v>
      </c>
      <c r="F22" s="25" t="n">
        <v>4</v>
      </c>
      <c r="G22" s="25" t="n">
        <v>4</v>
      </c>
      <c r="H22" s="25" t="n">
        <v>4</v>
      </c>
      <c r="I22" s="26">
        <f>SUMPRODUCT($C$17:$H$17,C22:H22)</f>
        <v/>
      </c>
      <c r="J22" s="2">
        <f>RANK(I22,$I$18:$I$25)</f>
        <v/>
      </c>
    </row>
    <row r="23">
      <c r="A23" s="3" t="inlineStr">
        <is>
          <t>F</t>
        </is>
      </c>
      <c r="B23" s="11" t="inlineStr">
        <is>
          <t>Conveyor-Light Flexible Line + Synchronized Intralogistics</t>
        </is>
      </c>
      <c r="C23" s="25" t="n">
        <v>3</v>
      </c>
      <c r="D23" s="25" t="n">
        <v>5</v>
      </c>
      <c r="E23" s="25" t="n">
        <v>2</v>
      </c>
      <c r="F23" s="25" t="n">
        <v>2</v>
      </c>
      <c r="G23" s="25" t="n">
        <v>2</v>
      </c>
      <c r="H23" s="25" t="n">
        <v>2</v>
      </c>
      <c r="I23" s="26">
        <f>SUMPRODUCT($C$17:$H$17,C23:H23)</f>
        <v/>
      </c>
      <c r="J23" s="2">
        <f>RANK(I23,$I$18:$I$25)</f>
        <v/>
      </c>
    </row>
    <row r="24">
      <c r="A24" s="3" t="inlineStr">
        <is>
          <t>G</t>
        </is>
      </c>
      <c r="B24" s="11" t="inlineStr">
        <is>
          <t>AI-Enabled Autonomous Maintenance (TPM 2.0)</t>
        </is>
      </c>
      <c r="C24" s="25" t="n">
        <v>4</v>
      </c>
      <c r="D24" s="25" t="n">
        <v>2</v>
      </c>
      <c r="E24" s="25" t="n">
        <v>4</v>
      </c>
      <c r="F24" s="25" t="n">
        <v>3</v>
      </c>
      <c r="G24" s="25" t="n">
        <v>4</v>
      </c>
      <c r="H24" s="25" t="n">
        <v>3</v>
      </c>
      <c r="I24" s="26">
        <f>SUMPRODUCT($C$17:$H$17,C24:H24)</f>
        <v/>
      </c>
      <c r="J24" s="2">
        <f>RANK(I24,$I$18:$I$25)</f>
        <v/>
      </c>
    </row>
    <row r="25">
      <c r="A25" s="3" t="inlineStr">
        <is>
          <t>H</t>
        </is>
      </c>
      <c r="B25" s="11" t="inlineStr">
        <is>
          <t>INTEGRATED: Closed-Loop Production System (A+B+C+D)</t>
        </is>
      </c>
      <c r="C25" s="25" t="n">
        <v>5</v>
      </c>
      <c r="D25" s="25" t="n">
        <v>4</v>
      </c>
      <c r="E25" s="25" t="n">
        <v>5</v>
      </c>
      <c r="F25" s="25" t="n">
        <v>5</v>
      </c>
      <c r="G25" s="25" t="n">
        <v>3</v>
      </c>
      <c r="H25" s="25" t="n">
        <v>5</v>
      </c>
      <c r="I25" s="26">
        <f>SUMPRODUCT($C$17:$H$17,C25:H25)</f>
        <v/>
      </c>
      <c r="J25" s="2">
        <f>RANK(I25,$I$18:$I$25)</f>
        <v/>
      </c>
    </row>
    <row r="27">
      <c r="A27" s="3" t="inlineStr">
        <is>
          <t>Tip: the winning pitch is usually one integrated idea (like H) explained through one pilot. Use the lower-ranked options as 'considered and rejected' in the appendix to show rigor.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52" customWidth="1" min="1" max="1"/>
    <col width="13" customWidth="1" min="2" max="2"/>
    <col width="15" customWidth="1" min="3" max="3"/>
    <col width="55" customWidth="1" min="4" max="4"/>
    <col width="11" customWidth="1" min="5" max="5"/>
    <col width="9" customWidth="1" min="6" max="6"/>
    <col width="10" customWidth="1" min="7" max="7"/>
  </cols>
  <sheetData>
    <row r="1">
      <c r="A1" s="1" t="inlineStr">
        <is>
          <t>Case exhibits, re-typed (verify red cells against the PDF)</t>
        </is>
      </c>
    </row>
    <row r="3">
      <c r="A3" s="3" t="inlineStr">
        <is>
          <t>Exhibit 1. National car sales (units)</t>
        </is>
      </c>
    </row>
    <row r="4">
      <c r="A4" s="8" t="inlineStr">
        <is>
          <t>Metric</t>
        </is>
      </c>
      <c r="B4" s="8" t="inlineStr">
        <is>
          <t>2024</t>
        </is>
      </c>
      <c r="C4" s="8" t="inlineStr">
        <is>
          <t>2025</t>
        </is>
      </c>
      <c r="D4" s="8" t="inlineStr">
        <is>
          <t>Change</t>
        </is>
      </c>
    </row>
    <row r="5">
      <c r="A5" s="2" t="inlineStr">
        <is>
          <t>Wholesales</t>
        </is>
      </c>
      <c r="B5" s="73" t="n">
        <v>865723</v>
      </c>
      <c r="C5" s="73" t="n">
        <v>803687</v>
      </c>
      <c r="D5" s="28">
        <f>C5/B5-1</f>
        <v/>
      </c>
    </row>
    <row r="6">
      <c r="A6" s="2" t="inlineStr">
        <is>
          <t>Retail sales</t>
        </is>
      </c>
      <c r="B6" s="73" t="n">
        <v>889680</v>
      </c>
      <c r="C6" s="73" t="n">
        <v>833692</v>
      </c>
      <c r="D6" s="28">
        <f>C6/B6-1</f>
        <v/>
      </c>
    </row>
    <row r="8">
      <c r="A8" s="3" t="inlineStr">
        <is>
          <t>Exhibit 3. Conversion cost index, Karawang (TMMIN 2023 = 100)</t>
        </is>
      </c>
    </row>
    <row r="9">
      <c r="A9" s="8" t="inlineStr">
        <is>
          <t>Year</t>
        </is>
      </c>
      <c r="B9" s="8" t="inlineStr">
        <is>
          <t>TMMIN</t>
        </is>
      </c>
      <c r="C9" s="8" t="inlineStr">
        <is>
          <t>New-player benchmark</t>
        </is>
      </c>
      <c r="D9" s="8" t="inlineStr">
        <is>
          <t>TMMIN vs benchmark</t>
        </is>
      </c>
    </row>
    <row r="10">
      <c r="A10" s="2" t="inlineStr">
        <is>
          <t>2023</t>
        </is>
      </c>
      <c r="B10" s="4" t="n">
        <v>100</v>
      </c>
      <c r="C10" s="4" t="n">
        <v>94</v>
      </c>
      <c r="D10" s="28">
        <f>B10/C10-1</f>
        <v/>
      </c>
    </row>
    <row r="11">
      <c r="A11" s="2" t="inlineStr">
        <is>
          <t>2024</t>
        </is>
      </c>
      <c r="B11" s="4" t="n">
        <v>103</v>
      </c>
      <c r="C11" s="4" t="n">
        <v>91</v>
      </c>
      <c r="D11" s="28">
        <f>B11/C11-1</f>
        <v/>
      </c>
    </row>
    <row r="12">
      <c r="A12" s="2" t="inlineStr">
        <is>
          <t>2025</t>
        </is>
      </c>
      <c r="B12" s="4" t="n">
        <v>106</v>
      </c>
      <c r="C12" s="4" t="n">
        <v>89</v>
      </c>
      <c r="D12" s="28">
        <f>B12/C12-1</f>
        <v/>
      </c>
    </row>
    <row r="14">
      <c r="A14" s="3" t="inlineStr">
        <is>
          <t>Exhibit 4. Quality &amp; productivity baseline (index 2023 = 100 unless stated)</t>
        </is>
      </c>
    </row>
    <row r="15">
      <c r="A15" s="8" t="inlineStr">
        <is>
          <t>Metric</t>
        </is>
      </c>
      <c r="B15" s="8" t="inlineStr">
        <is>
          <t>2023</t>
        </is>
      </c>
      <c r="C15" s="8" t="inlineStr">
        <is>
          <t>2025</t>
        </is>
      </c>
      <c r="D15" s="8" t="inlineStr">
        <is>
          <t>Note</t>
        </is>
      </c>
    </row>
    <row r="16">
      <c r="A16" s="2" t="inlineStr">
        <is>
          <t>Scrap (index)</t>
        </is>
      </c>
      <c r="B16" s="4" t="n">
        <v>100</v>
      </c>
      <c r="C16" s="4" t="n">
        <v>108</v>
      </c>
      <c r="D16" s="11" t="inlineStr">
        <is>
          <t>Verified from casebook PDF</t>
        </is>
      </c>
    </row>
    <row r="17">
      <c r="A17" s="2" t="inlineStr">
        <is>
          <t>Unplanned downtime (index)</t>
        </is>
      </c>
      <c r="B17" s="4" t="n">
        <v>100</v>
      </c>
      <c r="C17" s="4" t="n">
        <v>111</v>
      </c>
      <c r="D17" s="11" t="inlineStr">
        <is>
          <t>Verified from casebook PDF</t>
        </is>
      </c>
    </row>
    <row r="18">
      <c r="A18" s="2" t="inlineStr">
        <is>
          <t>Defects escaping to downstream (index)</t>
        </is>
      </c>
      <c r="B18" s="4" t="n">
        <v>100</v>
      </c>
      <c r="C18" s="4" t="n">
        <v>103</v>
      </c>
      <c r="D18" s="11" t="inlineStr">
        <is>
          <t>Verified from casebook PDF</t>
        </is>
      </c>
    </row>
    <row r="19">
      <c r="A19" s="2" t="inlineStr">
        <is>
          <t>Operator non-value-added time (% hours)</t>
        </is>
      </c>
      <c r="B19" s="20" t="n">
        <v>0.2</v>
      </c>
      <c r="C19" s="20" t="n">
        <v>0.22</v>
      </c>
      <c r="D19" s="11" t="inlineStr">
        <is>
          <t>Verified from casebook PDF</t>
        </is>
      </c>
    </row>
    <row r="20">
      <c r="A20" s="2" t="inlineStr">
        <is>
          <t>Equipment modification time, new variant (months)</t>
        </is>
      </c>
      <c r="B20" s="4" t="n">
        <v>8</v>
      </c>
      <c r="C20" s="4" t="n">
        <v>9</v>
      </c>
      <c r="D20" s="11" t="inlineStr">
        <is>
          <t>Verified from casebook PDF</t>
        </is>
      </c>
    </row>
    <row r="22">
      <c r="A22" s="3" t="inlineStr">
        <is>
          <t>Exhibit 5. Automation maturity (1 manual, 2 semi-auto, 3 auto+integrated, 4 autonomous)</t>
        </is>
      </c>
    </row>
    <row r="23">
      <c r="A23" s="8" t="inlineStr">
        <is>
          <t>Process</t>
        </is>
      </c>
      <c r="B23" s="8" t="inlineStr">
        <is>
          <t>Level</t>
        </is>
      </c>
      <c r="C23" s="8" t="inlineStr">
        <is>
          <t>Gap to L4</t>
        </is>
      </c>
      <c r="D23" s="8" t="inlineStr">
        <is>
          <t>Key condition</t>
        </is>
      </c>
    </row>
    <row r="24">
      <c r="A24" s="2" t="inlineStr">
        <is>
          <t>Press shop</t>
        </is>
      </c>
      <c r="B24" s="4" t="n">
        <v>3</v>
      </c>
      <c r="C24" s="2">
        <f>4-B24</f>
        <v/>
      </c>
      <c r="D24" s="11" t="inlineStr">
        <is>
          <t>Die changes and panel quality checks rely on operators</t>
        </is>
      </c>
    </row>
    <row r="25">
      <c r="A25" s="2" t="inlineStr">
        <is>
          <t>Casting</t>
        </is>
      </c>
      <c r="B25" s="4" t="n">
        <v>2</v>
      </c>
      <c r="C25" s="2">
        <f>4-B25</f>
        <v/>
      </c>
      <c r="D25" s="11" t="inlineStr">
        <is>
          <t>Finishing, handling, inspection partly manual</t>
        </is>
      </c>
    </row>
    <row r="26">
      <c r="A26" s="2" t="inlineStr">
        <is>
          <t>Machining &amp; engine assembly</t>
        </is>
      </c>
      <c r="B26" s="4" t="n">
        <v>3</v>
      </c>
      <c r="C26" s="2">
        <f>4-B26</f>
        <v/>
      </c>
      <c r="D26" s="11" t="inlineStr">
        <is>
          <t>Assembly and inspection partly manual</t>
        </is>
      </c>
    </row>
    <row r="27">
      <c r="A27" s="2" t="inlineStr">
        <is>
          <t>Body welding: spot welding</t>
        </is>
      </c>
      <c r="B27" s="4" t="n">
        <v>3</v>
      </c>
      <c r="C27" s="2">
        <f>4-B27</f>
        <v/>
      </c>
      <c r="D27" s="11" t="inlineStr">
        <is>
          <t>Programmed robots integrated in line</t>
        </is>
      </c>
    </row>
    <row r="28">
      <c r="A28" s="2" t="inlineStr">
        <is>
          <t>Body welding: sealer application</t>
        </is>
      </c>
      <c r="B28" s="4" t="n">
        <v>2</v>
      </c>
      <c r="C28" s="2">
        <f>4-B28</f>
        <v/>
      </c>
      <c r="D28" s="11" t="inlineStr">
        <is>
          <t>Manual/semi-auto; no automatic quality feedback</t>
        </is>
      </c>
    </row>
    <row r="29">
      <c r="A29" s="2" t="inlineStr">
        <is>
          <t>Painting</t>
        </is>
      </c>
      <c r="B29" s="4" t="n">
        <v>3</v>
      </c>
      <c r="C29" s="2">
        <f>4-B29</f>
        <v/>
      </c>
      <c r="D29" s="11" t="inlineStr">
        <is>
          <t>Quality check and defect repair manual visual</t>
        </is>
      </c>
    </row>
    <row r="30">
      <c r="A30" s="2" t="inlineStr">
        <is>
          <t>Final assembly</t>
        </is>
      </c>
      <c r="B30" s="4" t="n">
        <v>2</v>
      </c>
      <c r="C30" s="2">
        <f>4-B30</f>
        <v/>
      </c>
      <c r="D30" s="11" t="inlineStr">
        <is>
          <t>Manual with tools; high variant mix handled by operators</t>
        </is>
      </c>
    </row>
    <row r="31">
      <c r="A31" s="2" t="inlineStr">
        <is>
          <t>Quality inspection</t>
        </is>
      </c>
      <c r="B31" s="4" t="n">
        <v>1</v>
      </c>
      <c r="C31" s="2">
        <f>4-B31</f>
        <v/>
      </c>
      <c r="D31" s="11" t="inlineStr">
        <is>
          <t>Manual visual; in-house AI camera (from CCTV) in validation to Oct 2026</t>
        </is>
      </c>
    </row>
    <row r="32">
      <c r="A32" s="2" t="inlineStr">
        <is>
          <t>Intralogistics</t>
        </is>
      </c>
      <c r="B32" s="4" t="n">
        <v>2</v>
      </c>
      <c r="C32" s="2">
        <f>4-B32</f>
        <v/>
      </c>
      <c r="D32" s="11" t="inlineStr">
        <is>
          <t>Manual forklifts/dollies; AGV/AMR pilots</t>
        </is>
      </c>
    </row>
    <row r="33">
      <c r="A33" s="2" t="inlineStr">
        <is>
          <t>Maintenance</t>
        </is>
      </c>
      <c r="B33" s="4" t="n">
        <v>2</v>
      </c>
      <c r="C33" s="2">
        <f>4-B33</f>
        <v/>
      </c>
      <c r="D33" s="11" t="inlineStr">
        <is>
          <t>Periodic preventive, not predictive</t>
        </is>
      </c>
    </row>
    <row r="34">
      <c r="A34" s="2" t="inlineStr">
        <is>
          <t>Equipment &amp; system integration</t>
        </is>
      </c>
      <c r="B34" s="4" t="n">
        <v>2</v>
      </c>
      <c r="C34" s="2">
        <f>4-B34</f>
        <v/>
      </c>
      <c r="D34" s="11" t="inlineStr">
        <is>
          <t>Point-to-point; no common interface standard</t>
        </is>
      </c>
    </row>
    <row r="35">
      <c r="A35" s="2" t="inlineStr">
        <is>
          <t>Data integration</t>
        </is>
      </c>
      <c r="B35" s="4" t="n">
        <v>1</v>
      </c>
      <c r="C35" s="2">
        <f>4-B35</f>
        <v/>
      </c>
      <c r="D35" s="11" t="inlineStr">
        <is>
          <t>Data scattered; equipment, quality, logistics not connected</t>
        </is>
      </c>
    </row>
    <row r="37">
      <c r="A37" s="3" t="inlineStr">
        <is>
          <t>Exhibit 6A. Engineering time, knowledge &amp; improvement (production engineering)</t>
        </is>
      </c>
    </row>
    <row r="38">
      <c r="A38" s="8" t="inlineStr">
        <is>
          <t>Metric</t>
        </is>
      </c>
      <c r="B38" s="8" t="inlineStr">
        <is>
          <t>2023</t>
        </is>
      </c>
      <c r="C38" s="8" t="inlineStr">
        <is>
          <t>2025</t>
        </is>
      </c>
      <c r="D38" s="8" t="inlineStr">
        <is>
          <t>Note</t>
        </is>
      </c>
    </row>
    <row r="39">
      <c r="A39" s="11" t="inlineStr">
        <is>
          <t>Engineer time on routine support &amp; troubleshooting (%)</t>
        </is>
      </c>
      <c r="B39" s="20" t="n">
        <v>0.62</v>
      </c>
      <c r="C39" s="20" t="n">
        <v>0.65</v>
      </c>
      <c r="D39" s="11" t="inlineStr">
        <is>
          <t>Verified; the remaining ~10% is other work</t>
        </is>
      </c>
    </row>
    <row r="40">
      <c r="A40" s="11" t="inlineStr">
        <is>
          <t>Engineer time on improvement &amp; new development (%)</t>
        </is>
      </c>
      <c r="B40" s="20" t="n">
        <v>0.28</v>
      </c>
      <c r="C40" s="20" t="n">
        <v>0.25</v>
      </c>
      <c r="D40" s="11" t="inlineStr"/>
    </row>
    <row r="41">
      <c r="A41" s="11" t="inlineStr">
        <is>
          <t>Critical know-how documented in shared form (%)</t>
        </is>
      </c>
      <c r="B41" s="20" t="n">
        <v>0.35</v>
      </c>
      <c r="C41" s="20" t="n">
        <v>0.33</v>
      </c>
      <c r="D41" s="11" t="inlineStr"/>
    </row>
    <row r="42">
      <c r="A42" s="11" t="inlineStr">
        <is>
          <t>Critical processes whose know-how rests with 1-2 seniors (%)</t>
        </is>
      </c>
      <c r="B42" s="20" t="n">
        <v>0.45</v>
      </c>
      <c r="C42" s="20" t="n">
        <v>0.48</v>
      </c>
      <c r="D42" s="11" t="inlineStr"/>
    </row>
    <row r="43">
      <c r="A43" s="11" t="inlineStr">
        <is>
          <t>Months for new engineer to work independently</t>
        </is>
      </c>
      <c r="B43" s="4" t="n">
        <v>14</v>
      </c>
      <c r="C43" s="4" t="n">
        <v>15</v>
      </c>
      <c r="D43" s="11" t="inlineStr"/>
    </row>
    <row r="44">
      <c r="A44" s="11" t="inlineStr">
        <is>
          <t>Improvement ideas per engineer per year</t>
        </is>
      </c>
      <c r="B44" s="4" t="n">
        <v>3.1</v>
      </c>
      <c r="C44" s="4" t="n">
        <v>2.4</v>
      </c>
      <c r="D44" s="11" t="inlineStr"/>
    </row>
    <row r="45">
      <c r="A45" s="11" t="inlineStr">
        <is>
          <t>Ideas implemented (% of submitted)</t>
        </is>
      </c>
      <c r="B45" s="20" t="n">
        <v>0.35</v>
      </c>
      <c r="C45" s="20" t="n">
        <v>0.28</v>
      </c>
      <c r="D45" s="11" t="inlineStr"/>
    </row>
    <row r="47">
      <c r="A47" s="3" t="inlineStr">
        <is>
          <t>Exhibit 6B. Operator &amp; team-leader perception, pilot area (2025, N = 120)</t>
        </is>
      </c>
    </row>
    <row r="48">
      <c r="A48" s="8" t="inlineStr">
        <is>
          <t>Indicator</t>
        </is>
      </c>
      <c r="B48" s="8" t="inlineStr">
        <is>
          <t>Share</t>
        </is>
      </c>
      <c r="C48" s="8" t="inlineStr"/>
      <c r="D48" s="8" t="inlineStr">
        <is>
          <t>So what</t>
        </is>
      </c>
    </row>
    <row r="49">
      <c r="A49" s="11" t="inlineStr">
        <is>
          <t>Say new tech helps rather than replaces their work</t>
        </is>
      </c>
      <c r="B49" s="20" t="n">
        <v>0.54</v>
      </c>
      <c r="D49" s="11" t="inlineStr">
        <is>
          <t>46% are not convinced: change management is a real risk</t>
        </is>
      </c>
    </row>
    <row r="50">
      <c r="A50" s="11" t="inlineStr">
        <is>
          <t>Have received training on data-driven tools</t>
        </is>
      </c>
      <c r="B50" s="20" t="n">
        <v>0.18</v>
      </c>
      <c r="D50" s="11" t="inlineStr">
        <is>
          <t>Training gap is the biggest adoption blocker</t>
        </is>
      </c>
    </row>
    <row r="51">
      <c r="A51" s="11" t="inlineStr">
        <is>
          <t>Frequently override or ignore automated alerts</t>
        </is>
      </c>
      <c r="B51" s="20" t="n">
        <v>0.31</v>
      </c>
      <c r="D51" s="11" t="inlineStr">
        <is>
          <t>Tech without trust = no value; design alerts with operators</t>
        </is>
      </c>
    </row>
    <row r="52">
      <c r="A52" s="11" t="inlineStr">
        <is>
          <t>Know-how shared mainly via informal on-the-job coaching</t>
        </is>
      </c>
      <c r="B52" s="20" t="n">
        <v>0.71</v>
      </c>
      <c r="D52" s="11" t="inlineStr">
        <is>
          <t>Supports knowledge-capture idea</t>
        </is>
      </c>
    </row>
    <row r="53">
      <c r="A53" s="11" t="inlineStr">
        <is>
          <t>Would contribute ideas if an easy channel existed</t>
        </is>
      </c>
      <c r="B53" s="20" t="n">
        <v>0.62</v>
      </c>
      <c r="D53" s="11" t="inlineStr">
        <is>
          <t>Latent kaizen energy: biggest people opportunity</t>
        </is>
      </c>
    </row>
    <row r="55">
      <c r="A55" s="3" t="inlineStr">
        <is>
          <t>Exhibit 7. Engineering competence (members per level, N = 30 per field)</t>
        </is>
      </c>
    </row>
    <row r="56">
      <c r="A56" s="8" t="inlineStr">
        <is>
          <t>Field</t>
        </is>
      </c>
      <c r="B56" s="8" t="inlineStr">
        <is>
          <t>L1 basic</t>
        </is>
      </c>
      <c r="C56" s="8" t="inlineStr">
        <is>
          <t>L2 intermediate</t>
        </is>
      </c>
      <c r="D56" s="8" t="inlineStr">
        <is>
          <t>L3 proficient</t>
        </is>
      </c>
      <c r="E56" s="8" t="inlineStr">
        <is>
          <t>L4 expert</t>
        </is>
      </c>
      <c r="F56" s="8" t="inlineStr">
        <is>
          <t>Total</t>
        </is>
      </c>
      <c r="G56" s="8" t="inlineStr">
        <is>
          <t>% at L3+</t>
        </is>
      </c>
    </row>
    <row r="57">
      <c r="A57" s="2" t="inlineStr">
        <is>
          <t>Mechanical</t>
        </is>
      </c>
      <c r="B57" s="4" t="n">
        <v>3</v>
      </c>
      <c r="C57" s="4" t="n">
        <v>8</v>
      </c>
      <c r="D57" s="4" t="n">
        <v>14</v>
      </c>
      <c r="E57" s="4" t="n">
        <v>5</v>
      </c>
      <c r="F57" s="2">
        <f>SUM(B57:E57)</f>
        <v/>
      </c>
      <c r="G57" s="28">
        <f>(D57+E57)/F57</f>
        <v/>
      </c>
    </row>
    <row r="58">
      <c r="A58" s="2" t="inlineStr">
        <is>
          <t>Electrical</t>
        </is>
      </c>
      <c r="B58" s="4" t="n">
        <v>5</v>
      </c>
      <c r="C58" s="4" t="n">
        <v>10</v>
      </c>
      <c r="D58" s="4" t="n">
        <v>11</v>
      </c>
      <c r="E58" s="4" t="n">
        <v>4</v>
      </c>
      <c r="F58" s="2">
        <f>SUM(B58:E58)</f>
        <v/>
      </c>
      <c r="G58" s="28">
        <f>(D58+E58)/F58</f>
        <v/>
      </c>
    </row>
    <row r="59">
      <c r="A59" s="2" t="inlineStr">
        <is>
          <t>PLC</t>
        </is>
      </c>
      <c r="B59" s="4" t="n">
        <v>7</v>
      </c>
      <c r="C59" s="4" t="n">
        <v>11</v>
      </c>
      <c r="D59" s="4" t="n">
        <v>9</v>
      </c>
      <c r="E59" s="4" t="n">
        <v>3</v>
      </c>
      <c r="F59" s="2">
        <f>SUM(B59:E59)</f>
        <v/>
      </c>
      <c r="G59" s="28">
        <f>(D59+E59)/F59</f>
        <v/>
      </c>
    </row>
    <row r="60">
      <c r="A60" s="2" t="inlineStr">
        <is>
          <t>Programming</t>
        </is>
      </c>
      <c r="B60" s="4" t="n">
        <v>14</v>
      </c>
      <c r="C60" s="4" t="n">
        <v>10</v>
      </c>
      <c r="D60" s="4" t="n">
        <v>5</v>
      </c>
      <c r="E60" s="4" t="n">
        <v>1</v>
      </c>
      <c r="F60" s="2">
        <f>SUM(B60:E60)</f>
        <v/>
      </c>
      <c r="G60" s="28">
        <f>(D60+E60)/F60</f>
        <v/>
      </c>
    </row>
    <row r="61">
      <c r="A61" s="2" t="inlineStr">
        <is>
          <t>Software &amp; AI</t>
        </is>
      </c>
      <c r="B61" s="4" t="n">
        <v>20</v>
      </c>
      <c r="C61" s="4" t="n">
        <v>8</v>
      </c>
      <c r="D61" s="4" t="n">
        <v>2</v>
      </c>
      <c r="E61" s="4" t="n">
        <v>0</v>
      </c>
      <c r="F61" s="2">
        <f>SUM(B61:E61)</f>
        <v/>
      </c>
      <c r="G61" s="28">
        <f>(D61+E61)/F61</f>
        <v/>
      </c>
    </row>
    <row r="62">
      <c r="A62" s="2" t="inlineStr">
        <is>
          <t>Verified from casebook PDF</t>
        </is>
      </c>
    </row>
    <row r="64">
      <c r="A64" s="3" t="inlineStr">
        <is>
          <t>Exhibit 8. Volume share by pathway (indicative)</t>
        </is>
      </c>
    </row>
    <row r="65">
      <c r="A65" s="8" t="inlineStr">
        <is>
          <t>Pathway</t>
        </is>
      </c>
      <c r="B65" s="8" t="inlineStr">
        <is>
          <t>2026</t>
        </is>
      </c>
      <c r="C65" s="8" t="inlineStr">
        <is>
          <t>2030 moderate</t>
        </is>
      </c>
      <c r="D65" s="8" t="inlineStr">
        <is>
          <t>2030 aggressive</t>
        </is>
      </c>
    </row>
    <row r="66">
      <c r="A66" s="2" t="inlineStr">
        <is>
          <t>Conventional (ICE)</t>
        </is>
      </c>
      <c r="B66" s="20" t="n">
        <v>0.7</v>
      </c>
      <c r="C66" s="20" t="n">
        <v>0.45</v>
      </c>
      <c r="D66" s="20" t="n">
        <v>0.3</v>
      </c>
    </row>
    <row r="67">
      <c r="A67" s="2" t="inlineStr">
        <is>
          <t>HEV</t>
        </is>
      </c>
      <c r="B67" s="20" t="n">
        <v>0.25</v>
      </c>
      <c r="C67" s="20" t="n">
        <v>0.38</v>
      </c>
      <c r="D67" s="20" t="n">
        <v>0.4</v>
      </c>
    </row>
    <row r="68">
      <c r="A68" s="2" t="inlineStr">
        <is>
          <t>PHEV</t>
        </is>
      </c>
      <c r="B68" s="20" t="n">
        <v>0.03</v>
      </c>
      <c r="C68" s="20" t="n">
        <v>0.07000000000000001</v>
      </c>
      <c r="D68" s="20" t="n">
        <v>0.1</v>
      </c>
    </row>
    <row r="69">
      <c r="A69" s="2" t="inlineStr">
        <is>
          <t>BEV</t>
        </is>
      </c>
      <c r="B69" s="20" t="n">
        <v>0.02</v>
      </c>
      <c r="C69" s="20" t="n">
        <v>0.1</v>
      </c>
      <c r="D69" s="20" t="n">
        <v>0.2</v>
      </c>
    </row>
    <row r="70">
      <c r="A70" s="3" t="inlineStr">
        <is>
          <t>Electrified share (HEV+PHEV+BEV)</t>
        </is>
      </c>
      <c r="B70" s="28">
        <f>SUM(B67:B69)</f>
        <v/>
      </c>
      <c r="C70" s="28">
        <f>SUM(C67:C69)</f>
        <v/>
      </c>
      <c r="D70" s="28">
        <f>SUM(D67:D69)</f>
        <v/>
      </c>
    </row>
    <row r="72">
      <c r="A72" s="3" t="inlineStr">
        <is>
          <t>Exhibit 9 parameters are in the Assumptions tab (rows 4-15).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 customWidth="1" min="2" max="2"/>
    <col width="14" customWidth="1" min="3" max="3"/>
    <col width="14" customWidth="1" min="4" max="4"/>
    <col width="46" customWidth="1" min="5" max="5"/>
    <col width="10" customWidth="1" min="6" max="6"/>
    <col width="60" customWidth="1" min="7" max="7"/>
  </cols>
  <sheetData>
    <row r="1">
      <c r="A1" s="1" t="inlineStr">
        <is>
          <t>Model inputs</t>
        </is>
      </c>
    </row>
    <row r="3">
      <c r="A3" s="8" t="inlineStr">
        <is>
          <t>Case parameter (Exhibit 9 / text)</t>
        </is>
      </c>
      <c r="B3" s="8" t="inlineStr">
        <is>
          <t>Value</t>
        </is>
      </c>
      <c r="C3" s="8" t="inlineStr">
        <is>
          <t>Unit</t>
        </is>
      </c>
      <c r="D3" s="8" t="inlineStr">
        <is>
          <t>Source / note</t>
        </is>
      </c>
    </row>
    <row r="4">
      <c r="A4" s="2" t="inlineStr">
        <is>
          <t>Installed capacity, Karawang I + II</t>
        </is>
      </c>
      <c r="B4" s="73" t="n">
        <v>250000</v>
      </c>
      <c r="C4" s="2" t="inlineStr">
        <is>
          <t>units/yr</t>
        </is>
      </c>
      <c r="D4" s="11" t="inlineStr">
        <is>
          <t>Exhibit 9</t>
        </is>
      </c>
    </row>
    <row r="5">
      <c r="A5" s="2" t="inlineStr">
        <is>
          <t>Capacity utilization 2025</t>
        </is>
      </c>
      <c r="B5" s="20" t="n">
        <v>0.7</v>
      </c>
      <c r="C5" s="2" t="inlineStr">
        <is>
          <t>%</t>
        </is>
      </c>
      <c r="D5" s="11" t="inlineStr">
        <is>
          <t>Exhibit 9</t>
        </is>
      </c>
    </row>
    <row r="6">
      <c r="A6" s="2" t="inlineStr">
        <is>
          <t>Production volume</t>
        </is>
      </c>
      <c r="B6" s="74">
        <f>B4*B5</f>
        <v/>
      </c>
      <c r="C6" s="2" t="inlineStr">
        <is>
          <t>units/yr</t>
        </is>
      </c>
      <c r="D6" s="11" t="inlineStr">
        <is>
          <t>Formula (case: ~175,000)</t>
        </is>
      </c>
    </row>
    <row r="7">
      <c r="A7" s="2" t="inlineStr">
        <is>
          <t>Conversion cost per unit 2025</t>
        </is>
      </c>
      <c r="B7" s="75" t="n">
        <v>3.2</v>
      </c>
      <c r="C7" s="2" t="inlineStr">
        <is>
          <t>Rp million</t>
        </is>
      </c>
      <c r="D7" s="11" t="inlineStr">
        <is>
          <t>Exhibit 9 (labor, energy, maintenance, depreciation, scrap)</t>
        </is>
      </c>
    </row>
    <row r="8">
      <c r="A8" s="2" t="inlineStr">
        <is>
          <t>Total annual conversion cost</t>
        </is>
      </c>
      <c r="B8" s="76">
        <f>B6*B7/1000</f>
        <v/>
      </c>
      <c r="C8" s="2" t="inlineStr">
        <is>
          <t>Rp billion</t>
        </is>
      </c>
      <c r="D8" s="11" t="inlineStr">
        <is>
          <t>Formula (case: ~Rp560B)</t>
        </is>
      </c>
    </row>
    <row r="9">
      <c r="A9" s="2" t="inlineStr">
        <is>
          <t>Discount rate</t>
        </is>
      </c>
      <c r="B9" s="20" t="n">
        <v>0.1</v>
      </c>
      <c r="C9" s="2" t="inlineStr">
        <is>
          <t>%/yr</t>
        </is>
      </c>
      <c r="D9" s="11" t="inlineStr">
        <is>
          <t>Exhibit 9</t>
        </is>
      </c>
    </row>
    <row r="10">
      <c r="A10" s="2" t="inlineStr">
        <is>
          <t>Labor &amp; energy cost escalation</t>
        </is>
      </c>
      <c r="B10" s="20" t="n">
        <v>0.04</v>
      </c>
      <c r="C10" s="2" t="inlineStr">
        <is>
          <t>%/yr</t>
        </is>
      </c>
      <c r="D10" s="11" t="inlineStr">
        <is>
          <t>Exhibit 9, applied to savings</t>
        </is>
      </c>
    </row>
    <row r="11">
      <c r="A11" s="2" t="inlineStr">
        <is>
          <t>Technology economic life</t>
        </is>
      </c>
      <c r="B11" s="4" t="n">
        <v>5</v>
      </c>
      <c r="C11" s="2" t="inlineStr">
        <is>
          <t>years</t>
        </is>
      </c>
      <c r="D11" s="11" t="inlineStr">
        <is>
          <t>Exhibit 9</t>
        </is>
      </c>
    </row>
    <row r="12">
      <c r="A12" s="2" t="inlineStr">
        <is>
          <t>TMMIN conversion cost index 2025</t>
        </is>
      </c>
      <c r="B12" s="4" t="n">
        <v>106</v>
      </c>
      <c r="C12" s="2" t="inlineStr">
        <is>
          <t>index</t>
        </is>
      </c>
      <c r="D12" s="11" t="inlineStr">
        <is>
          <t>Exhibit 3</t>
        </is>
      </c>
    </row>
    <row r="13">
      <c r="A13" s="2" t="inlineStr">
        <is>
          <t>New-player benchmark index 2025</t>
        </is>
      </c>
      <c r="B13" s="4" t="n">
        <v>89</v>
      </c>
      <c r="C13" s="2" t="inlineStr">
        <is>
          <t>index</t>
        </is>
      </c>
      <c r="D13" s="11" t="inlineStr">
        <is>
          <t>Exhibit 3</t>
        </is>
      </c>
    </row>
    <row r="14">
      <c r="A14" s="2" t="inlineStr">
        <is>
          <t>Operator non-value-added time</t>
        </is>
      </c>
      <c r="B14" s="20" t="n">
        <v>0.22</v>
      </c>
      <c r="C14" s="2" t="inlineStr">
        <is>
          <t>% hours</t>
        </is>
      </c>
      <c r="D14" s="11" t="inlineStr">
        <is>
          <t>Exhibit 4 / text</t>
        </is>
      </c>
    </row>
    <row r="15">
      <c r="A15" s="2" t="inlineStr">
        <is>
          <t>Equipment modification time per new variant</t>
        </is>
      </c>
      <c r="B15" s="4" t="n">
        <v>9</v>
      </c>
      <c r="C15" s="2" t="inlineStr">
        <is>
          <t>months</t>
        </is>
      </c>
      <c r="D15" s="11" t="inlineStr">
        <is>
          <t>Exhibit 4 / text</t>
        </is>
      </c>
    </row>
    <row r="17">
      <c r="A17" s="8" t="inlineStr">
        <is>
          <t>Conversion cost split (TEAM ASSUMPTION, case gives components only)</t>
        </is>
      </c>
      <c r="B17" s="8" t="inlineStr">
        <is>
          <t>Share</t>
        </is>
      </c>
      <c r="C17" s="8" t="inlineStr">
        <is>
          <t>Rp billion</t>
        </is>
      </c>
      <c r="D17" s="8" t="inlineStr">
        <is>
          <t>Justify with</t>
        </is>
      </c>
    </row>
    <row r="18">
      <c r="A18" s="2" t="inlineStr">
        <is>
          <t>Labor</t>
        </is>
      </c>
      <c r="B18" s="24" t="n">
        <v>0.4</v>
      </c>
      <c r="C18" s="76">
        <f>B18*$B$8</f>
        <v/>
      </c>
      <c r="D18" s="11" t="inlineStr">
        <is>
          <t>No public source splits conversion cost. Stated team assumption; Monte Carlo tests labor share 35-45% (Simulation tab). Ask organizers in clarification if allowed.</t>
        </is>
      </c>
    </row>
    <row r="19">
      <c r="A19" s="2" t="inlineStr">
        <is>
          <t>Energy</t>
        </is>
      </c>
      <c r="B19" s="24" t="n">
        <v>0.12</v>
      </c>
      <c r="C19" s="76">
        <f>B19*$B$8</f>
        <v/>
      </c>
      <c r="D19" s="11" t="inlineStr">
        <is>
          <t>No public source splits conversion cost. Stated team assumption; Monte Carlo tests labor share 35-45% (Simulation tab). Ask organizers in clarification if allowed.</t>
        </is>
      </c>
    </row>
    <row r="20">
      <c r="A20" s="2" t="inlineStr">
        <is>
          <t>Maintenance</t>
        </is>
      </c>
      <c r="B20" s="24" t="n">
        <v>0.13</v>
      </c>
      <c r="C20" s="76">
        <f>B20*$B$8</f>
        <v/>
      </c>
      <c r="D20" s="11" t="inlineStr">
        <is>
          <t>No public source splits conversion cost. Stated team assumption; Monte Carlo tests labor share 35-45% (Simulation tab). Ask organizers in clarification if allowed.</t>
        </is>
      </c>
    </row>
    <row r="21">
      <c r="A21" s="2" t="inlineStr">
        <is>
          <t>Depreciation</t>
        </is>
      </c>
      <c r="B21" s="24" t="n">
        <v>0.25</v>
      </c>
      <c r="C21" s="76">
        <f>B21*$B$8</f>
        <v/>
      </c>
      <c r="D21" s="11" t="inlineStr">
        <is>
          <t>No public source splits conversion cost. Stated team assumption; Monte Carlo tests labor share 35-45% (Simulation tab). Ask organizers in clarification if allowed.</t>
        </is>
      </c>
    </row>
    <row r="22">
      <c r="A22" s="2" t="inlineStr">
        <is>
          <t>Scrap</t>
        </is>
      </c>
      <c r="B22" s="24" t="n">
        <v>0.1</v>
      </c>
      <c r="C22" s="76">
        <f>B22*$B$8</f>
        <v/>
      </c>
      <c r="D22" s="11" t="inlineStr">
        <is>
          <t>No public source splits conversion cost. Stated team assumption; Monte Carlo tests labor share 35-45% (Simulation tab). Ask organizers in clarification if allowed.</t>
        </is>
      </c>
    </row>
    <row r="23">
      <c r="A23" s="3" t="inlineStr">
        <is>
          <t>Check (must be 100%)</t>
        </is>
      </c>
      <c r="B23" s="28">
        <f>SUM(B18:B22)</f>
        <v/>
      </c>
      <c r="C23" s="76">
        <f>SUM(C18:C22)</f>
        <v/>
      </c>
    </row>
    <row r="25">
      <c r="A25" s="8" t="inlineStr">
        <is>
          <t>Other team assumptions</t>
        </is>
      </c>
      <c r="B25" s="8" t="inlineStr">
        <is>
          <t>Value</t>
        </is>
      </c>
      <c r="C25" s="8" t="inlineStr">
        <is>
          <t>Unit</t>
        </is>
      </c>
      <c r="D25" s="8" t="inlineStr">
        <is>
          <t>Note</t>
        </is>
      </c>
    </row>
    <row r="26">
      <c r="A26" s="2" t="inlineStr">
        <is>
          <t>New variant / model-change projects per year</t>
        </is>
      </c>
      <c r="B26" s="32" t="n">
        <v>3</v>
      </c>
      <c r="C26" s="2" t="inlineStr">
        <is>
          <t>projects/yr</t>
        </is>
      </c>
      <c r="D26" s="11" t="inlineStr">
        <is>
          <t>Rises with multi-pathway mix (Exhibit 8)</t>
        </is>
      </c>
    </row>
    <row r="27">
      <c r="A27" s="2" t="inlineStr">
        <is>
          <t>Average cost per equipment modification project</t>
        </is>
      </c>
      <c r="B27" s="77" t="n">
        <v>10</v>
      </c>
      <c r="C27" s="2" t="inlineStr">
        <is>
          <t>Rp billion</t>
        </is>
      </c>
      <c r="D27" s="11" t="inlineStr">
        <is>
          <t>Team assumption, no public source. Tornado shows its NPV swing (Simulation Test 3); state it openly.</t>
        </is>
      </c>
    </row>
    <row r="28">
      <c r="A28" s="2" t="inlineStr">
        <is>
          <t>Share of freed operator time converted to cash</t>
        </is>
      </c>
      <c r="B28" s="24" t="n">
        <v>0.5</v>
      </c>
      <c r="C28" s="2" t="inlineStr">
        <is>
          <t>%</t>
        </is>
      </c>
      <c r="D28" s="11" t="inlineStr">
        <is>
          <t>Rest is redeployed to kaizen / absorbs volume (no layoffs)</t>
        </is>
      </c>
    </row>
    <row r="31">
      <c r="A31" s="8" t="inlineStr">
        <is>
          <t>Lever assumptions by scenario</t>
        </is>
      </c>
      <c r="B31" s="8" t="inlineStr">
        <is>
          <t>Conservative</t>
        </is>
      </c>
      <c r="C31" s="8" t="inlineStr">
        <is>
          <t>Base</t>
        </is>
      </c>
      <c r="D31" s="8" t="inlineStr">
        <is>
          <t>Optimistic</t>
        </is>
      </c>
      <c r="E31" s="8" t="inlineStr">
        <is>
          <t>What drives it / how to defend</t>
        </is>
      </c>
      <c r="F31" s="8" t="inlineStr"/>
      <c r="G31" s="8" t="inlineStr">
        <is>
          <t>Benchmark evidence (cite in appendix)</t>
        </is>
      </c>
    </row>
    <row r="32" ht="54" customHeight="1">
      <c r="A32" s="11" t="inlineStr">
        <is>
          <t>Scrap cost reduction</t>
        </is>
      </c>
      <c r="B32" s="24" t="n">
        <v>0.2</v>
      </c>
      <c r="C32" s="24" t="n">
        <v>0.35</v>
      </c>
      <c r="D32" s="24" t="n">
        <v>0.5</v>
      </c>
      <c r="E32" s="11" t="inlineStr">
        <is>
          <t>Closed-loop feedback catches sealer/inspection lapses upstream (Exhibit 4/5)</t>
        </is>
      </c>
      <c r="G32" s="11" t="inlineStr">
        <is>
          <t>Own simulation (Simulation tab): closed loop cuts in-scope scrap ~85%; x 40% scope share = ~34% plant-wide. Base 35% sits on that result.</t>
        </is>
      </c>
    </row>
    <row r="33" ht="54" customHeight="1">
      <c r="A33" s="11" t="inlineStr">
        <is>
          <t>Maintenance cost reduction</t>
        </is>
      </c>
      <c r="B33" s="24" t="n">
        <v>0.05</v>
      </c>
      <c r="C33" s="24" t="n">
        <v>0.1</v>
      </c>
      <c r="D33" s="24" t="n">
        <v>0.15</v>
      </c>
      <c r="E33" s="11" t="inlineStr">
        <is>
          <t>Predictive maintenance + fewer unplanned stops</t>
        </is>
      </c>
      <c r="G33" s="11" t="inlineStr">
        <is>
          <t>McKinsey (2020, via IIoT World): maintenance cost -18 to 25%, unplanned downtime up to -50%. Our range is deliberately below. https://www.iiot-world.com/predictive-analytics/predictive-maintenance/predictive-maintenance-cost-savings/</t>
        </is>
      </c>
    </row>
    <row r="34" ht="54" customHeight="1">
      <c r="A34" s="11" t="inlineStr">
        <is>
          <t>Operator NVA time eliminated (% of the 22%)</t>
        </is>
      </c>
      <c r="B34" s="24" t="n">
        <v>0.15</v>
      </c>
      <c r="C34" s="24" t="n">
        <v>0.3</v>
      </c>
      <c r="D34" s="24" t="n">
        <v>0.45</v>
      </c>
      <c r="E34" s="11" t="inlineStr">
        <is>
          <t>Intralogistics sync, digital standard work, less searching/waiting</t>
        </is>
      </c>
      <c r="G34" s="11" t="inlineStr">
        <is>
          <t>Toyota AI Platform: &gt;10,000 man-hours/yr saved by worker-built tools (Google Cloud 2024). Omron/MPA AMR case: up to 15 km/day of operator walking and all manual crate runs eliminated (no % published). Validate with a time study in the pilot. https://robotics.omron.com/case-studies/amr-automation-intralogistics-mpa-omron/</t>
        </is>
      </c>
    </row>
    <row r="35" ht="54" customHeight="1">
      <c r="A35" s="11" t="inlineStr">
        <is>
          <t>Energy cost reduction</t>
        </is>
      </c>
      <c r="B35" s="24" t="n">
        <v>0.02</v>
      </c>
      <c r="C35" s="24" t="n">
        <v>0.05</v>
      </c>
      <c r="D35" s="24" t="n">
        <v>0.08</v>
      </c>
      <c r="E35" s="11" t="inlineStr">
        <is>
          <t>Data-driven idle/standby control</t>
        </is>
      </c>
      <c r="G35" s="11" t="inlineStr">
        <is>
          <t>Nissan US plants, energy management system (ISO 50001 / SEP): 13.8% energy performance gain over 3 years, 8-21% by site. Our 2-8% is deliberately below. https://www.cleanenergyministerial.org/content/uploads/2022/03/cem-em-casestudy-nissan-usa.pdf</t>
        </is>
      </c>
    </row>
    <row r="36" ht="54" customHeight="1">
      <c r="A36" s="11" t="inlineStr">
        <is>
          <t>Variant modification cost reduction</t>
        </is>
      </c>
      <c r="B36" s="24" t="n">
        <v>0.2</v>
      </c>
      <c r="C36" s="24" t="n">
        <v>0.35</v>
      </c>
      <c r="D36" s="24" t="n">
        <v>0.5</v>
      </c>
      <c r="E36" s="11" t="inlineStr">
        <is>
          <t>Common interface standard + in-house equipment + virtual verification</t>
        </is>
      </c>
      <c r="G36" s="11" t="inlineStr">
        <is>
          <t>Siemens / Wipro PARI: virtual commissioning cut on-site commissioning 70% on a 17-variant engine line. Kalypso: up to 40%. Toyota BEV plan targets halving prep lead time. https://resources.sw.siemens.com/en-US/case-study-wipro-pari/</t>
        </is>
      </c>
    </row>
    <row r="37" ht="54" customHeight="1">
      <c r="A37" s="11" t="inlineStr">
        <is>
          <t>Total program investment</t>
        </is>
      </c>
      <c r="B37" s="77" t="n">
        <v>110</v>
      </c>
      <c r="C37" s="77" t="n">
        <v>80</v>
      </c>
      <c r="D37" s="77" t="n">
        <v>60</v>
      </c>
      <c r="E37" s="11" t="inlineStr">
        <is>
          <t>Must sit inside case range Rp40-120B</t>
        </is>
      </c>
      <c r="G37" s="11" t="inlineStr">
        <is>
          <t>Case Exhibit 9</t>
        </is>
      </c>
    </row>
    <row r="38" ht="54" customHeight="1">
      <c r="A38" s="11" t="inlineStr">
        <is>
          <t>Annual running cost (% of cumulative investment)</t>
        </is>
      </c>
      <c r="B38" s="24" t="n">
        <v>0.1</v>
      </c>
      <c r="C38" s="24" t="n">
        <v>0.1</v>
      </c>
      <c r="D38" s="24" t="n">
        <v>0.08</v>
      </c>
      <c r="E38" s="11" t="inlineStr">
        <is>
          <t>Licences, cloud/compute, upkeep</t>
        </is>
      </c>
      <c r="G38" s="11" t="inlineStr">
        <is>
          <t>Team assumption</t>
        </is>
      </c>
    </row>
    <row r="39" ht="54" customHeight="1">
      <c r="A39" s="11" t="inlineStr">
        <is>
          <t>Training &amp; change management opex</t>
        </is>
      </c>
      <c r="B39" s="77" t="n">
        <v>3</v>
      </c>
      <c r="C39" s="77" t="n">
        <v>2.5</v>
      </c>
      <c r="D39" s="77" t="n">
        <v>2</v>
      </c>
      <c r="E39" s="11" t="inlineStr">
        <is>
          <t>Rp billion/yr: academy, coaches, kaizen time</t>
        </is>
      </c>
      <c r="G39" s="11" t="inlineStr">
        <is>
          <t>Team assumption; cross-check with Capability tab</t>
        </is>
      </c>
    </row>
    <row r="40">
      <c r="A40" s="2" t="inlineStr">
        <is>
          <t>Implied variant modification time (months)</t>
        </is>
      </c>
      <c r="B40" s="78">
        <f>$B$15*(1-B36)</f>
        <v/>
      </c>
      <c r="C40" s="78">
        <f>$B$15*(1-C36)</f>
        <v/>
      </c>
      <c r="D40" s="78">
        <f>$B$15*(1-D36)</f>
        <v/>
      </c>
      <c r="E40" s="11" t="inlineStr">
        <is>
          <t>Show this on the flexibility slide (vs 9 months today)</t>
        </is>
      </c>
    </row>
    <row r="42">
      <c r="A42" s="8" t="inlineStr">
        <is>
          <t>Timing</t>
        </is>
      </c>
      <c r="B42" s="8" t="inlineStr">
        <is>
          <t>2026</t>
        </is>
      </c>
      <c r="C42" s="8" t="inlineStr">
        <is>
          <t>2027</t>
        </is>
      </c>
      <c r="D42" s="8" t="inlineStr">
        <is>
          <t>2028</t>
        </is>
      </c>
      <c r="E42" s="8" t="inlineStr">
        <is>
          <t>2029</t>
        </is>
      </c>
      <c r="F42" s="8" t="inlineStr">
        <is>
          <t>2030</t>
        </is>
      </c>
      <c r="G42" s="8" t="inlineStr">
        <is>
          <t>Sum / note</t>
        </is>
      </c>
    </row>
    <row r="43">
      <c r="A43" s="2" t="inlineStr">
        <is>
          <t>Adoption ramp-up (% of full run-rate)</t>
        </is>
      </c>
      <c r="B43" s="24" t="n">
        <v>0.1</v>
      </c>
      <c r="C43" s="24" t="n">
        <v>0.35</v>
      </c>
      <c r="D43" s="24" t="n">
        <v>0.65</v>
      </c>
      <c r="E43" s="24" t="n">
        <v>0.9</v>
      </c>
      <c r="F43" s="24" t="n">
        <v>1</v>
      </c>
      <c r="G43" s="2" t="inlineStr">
        <is>
          <t>Pilot -&gt; standardize -&gt; rollout</t>
        </is>
      </c>
    </row>
    <row r="44">
      <c r="A44" s="2" t="inlineStr">
        <is>
          <t>Investment phasing (% of total): PILOT-LIGHT</t>
        </is>
      </c>
      <c r="B44" s="24" t="n">
        <v>0.1</v>
      </c>
      <c r="C44" s="24" t="n">
        <v>0.15</v>
      </c>
      <c r="D44" s="24" t="n">
        <v>0.4</v>
      </c>
      <c r="E44" s="24" t="n">
        <v>0.25</v>
      </c>
      <c r="F44" s="24" t="n">
        <v>0.1</v>
      </c>
      <c r="G44" s="28">
        <f>SUM(B44:F44)</f>
        <v/>
      </c>
    </row>
    <row r="45">
      <c r="A45" s="2" t="inlineStr">
        <is>
          <t>Year index (t)</t>
        </is>
      </c>
      <c r="B45" s="4" t="n">
        <v>1</v>
      </c>
      <c r="C45" s="4" t="n">
        <v>2</v>
      </c>
      <c r="D45" s="4" t="n">
        <v>3</v>
      </c>
      <c r="E45" s="4" t="n">
        <v>4</v>
      </c>
      <c r="F45" s="4" t="n">
        <v>5</v>
      </c>
      <c r="G45" s="2" t="inlineStr">
        <is>
          <t>End-of-year discounting</t>
        </is>
      </c>
    </row>
    <row r="46">
      <c r="A46" s="2" t="inlineStr">
        <is>
          <t>Reference only: original front-loaded phasing</t>
        </is>
      </c>
      <c r="B46" s="20" t="n">
        <v>0.3</v>
      </c>
      <c r="C46" s="20" t="n">
        <v>0.35</v>
      </c>
      <c r="D46" s="20" t="n">
        <v>0.25</v>
      </c>
      <c r="E46" s="20" t="n">
        <v>0.1</v>
      </c>
      <c r="F46" s="20" t="n">
        <v>0</v>
      </c>
    </row>
    <row r="47">
      <c r="A47" s="2" t="inlineStr">
        <is>
          <t>Why pilot-light: Simulation tab Test 2b. Spending little before the end-2027 gate raised P(NPV&gt;0) from ~49% to ~85% across 10,000 runs.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8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9"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Savings, investment and NPV by scenario (Rp billion)</t>
        </is>
      </c>
    </row>
    <row r="2">
      <c r="A2" s="2" t="inlineStr">
        <is>
          <t>Program window 2026-2030 = 5-year economic life. No terminal value (conservative).</t>
        </is>
      </c>
    </row>
    <row r="4">
      <c r="A4" s="35" t="inlineStr">
        <is>
          <t>Scenario: Conservative</t>
        </is>
      </c>
    </row>
    <row r="5">
      <c r="A5" s="8" t="inlineStr">
        <is>
          <t>Line item</t>
        </is>
      </c>
      <c r="B5" s="8" t="inlineStr">
        <is>
          <t>Unit</t>
        </is>
      </c>
      <c r="C5" s="8" t="inlineStr">
        <is>
          <t>2026</t>
        </is>
      </c>
      <c r="D5" s="8" t="inlineStr">
        <is>
          <t>2027</t>
        </is>
      </c>
      <c r="E5" s="8" t="inlineStr">
        <is>
          <t>2028</t>
        </is>
      </c>
      <c r="F5" s="8" t="inlineStr">
        <is>
          <t>2029</t>
        </is>
      </c>
      <c r="G5" s="8" t="inlineStr">
        <is>
          <t>2030</t>
        </is>
      </c>
      <c r="H5" s="8" t="inlineStr">
        <is>
          <t>Total</t>
        </is>
      </c>
    </row>
    <row r="6">
      <c r="A6" s="2" t="inlineStr">
        <is>
          <t>Adoption ramp-up</t>
        </is>
      </c>
      <c r="B6" s="2" t="inlineStr">
        <is>
          <t>%</t>
        </is>
      </c>
      <c r="C6" s="36">
        <f>Assumptions!B$43</f>
        <v/>
      </c>
      <c r="D6" s="36">
        <f>Assumptions!C$43</f>
        <v/>
      </c>
      <c r="E6" s="36">
        <f>Assumptions!D$43</f>
        <v/>
      </c>
      <c r="F6" s="36">
        <f>Assumptions!E$43</f>
        <v/>
      </c>
      <c r="G6" s="36">
        <f>Assumptions!F$43</f>
        <v/>
      </c>
    </row>
    <row r="7">
      <c r="A7" s="2" t="inlineStr">
        <is>
          <t>Escalation factor</t>
        </is>
      </c>
      <c r="B7" s="2" t="inlineStr">
        <is>
          <t>x</t>
        </is>
      </c>
      <c r="C7" s="37">
        <f>(1+Assumptions!$B$10)^(Assumptions!B$45-1)</f>
        <v/>
      </c>
      <c r="D7" s="37">
        <f>(1+Assumptions!$B$10)^(Assumptions!C$45-1)</f>
        <v/>
      </c>
      <c r="E7" s="37">
        <f>(1+Assumptions!$B$10)^(Assumptions!D$45-1)</f>
        <v/>
      </c>
      <c r="F7" s="37">
        <f>(1+Assumptions!$B$10)^(Assumptions!E$45-1)</f>
        <v/>
      </c>
      <c r="G7" s="37">
        <f>(1+Assumptions!$B$10)^(Assumptions!F$45-1)</f>
        <v/>
      </c>
    </row>
    <row r="8">
      <c r="A8" s="2" t="inlineStr">
        <is>
          <t>Saving: scrap</t>
        </is>
      </c>
      <c r="B8" s="2" t="inlineStr">
        <is>
          <t>Rp B</t>
        </is>
      </c>
      <c r="C8" s="76">
        <f>Assumptions!$B$8*Assumptions!$B$22*Assumptions!$B$32*C6*C7</f>
        <v/>
      </c>
      <c r="D8" s="76">
        <f>Assumptions!$B$8*Assumptions!$B$22*Assumptions!$B$32*D6*D7</f>
        <v/>
      </c>
      <c r="E8" s="76">
        <f>Assumptions!$B$8*Assumptions!$B$22*Assumptions!$B$32*E6*E7</f>
        <v/>
      </c>
      <c r="F8" s="76">
        <f>Assumptions!$B$8*Assumptions!$B$22*Assumptions!$B$32*F6*F7</f>
        <v/>
      </c>
      <c r="G8" s="76">
        <f>Assumptions!$B$8*Assumptions!$B$22*Assumptions!$B$32*G6*G7</f>
        <v/>
      </c>
      <c r="H8" s="76">
        <f>SUM(C8:G8)</f>
        <v/>
      </c>
    </row>
    <row r="9">
      <c r="A9" s="2" t="inlineStr">
        <is>
          <t>Saving: maintenance / downtime</t>
        </is>
      </c>
      <c r="B9" s="2" t="inlineStr">
        <is>
          <t>Rp B</t>
        </is>
      </c>
      <c r="C9" s="76">
        <f>Assumptions!$B$8*Assumptions!$B$20*Assumptions!$B$33*C6*C7</f>
        <v/>
      </c>
      <c r="D9" s="76">
        <f>Assumptions!$B$8*Assumptions!$B$20*Assumptions!$B$33*D6*D7</f>
        <v/>
      </c>
      <c r="E9" s="76">
        <f>Assumptions!$B$8*Assumptions!$B$20*Assumptions!$B$33*E6*E7</f>
        <v/>
      </c>
      <c r="F9" s="76">
        <f>Assumptions!$B$8*Assumptions!$B$20*Assumptions!$B$33*F6*F7</f>
        <v/>
      </c>
      <c r="G9" s="76">
        <f>Assumptions!$B$8*Assumptions!$B$20*Assumptions!$B$33*G6*G7</f>
        <v/>
      </c>
      <c r="H9" s="76">
        <f>SUM(C9:G9)</f>
        <v/>
      </c>
    </row>
    <row r="10">
      <c r="A10" s="2" t="inlineStr">
        <is>
          <t>Saving: operator NVA time</t>
        </is>
      </c>
      <c r="B10" s="2" t="inlineStr">
        <is>
          <t>Rp B</t>
        </is>
      </c>
      <c r="C10" s="76">
        <f>Assumptions!$B$8*Assumptions!$B$18*Assumptions!$B$14*Assumptions!$B$34*Assumptions!$B$28*C6*C7</f>
        <v/>
      </c>
      <c r="D10" s="76">
        <f>Assumptions!$B$8*Assumptions!$B$18*Assumptions!$B$14*Assumptions!$B$34*Assumptions!$B$28*D6*D7</f>
        <v/>
      </c>
      <c r="E10" s="76">
        <f>Assumptions!$B$8*Assumptions!$B$18*Assumptions!$B$14*Assumptions!$B$34*Assumptions!$B$28*E6*E7</f>
        <v/>
      </c>
      <c r="F10" s="76">
        <f>Assumptions!$B$8*Assumptions!$B$18*Assumptions!$B$14*Assumptions!$B$34*Assumptions!$B$28*F6*F7</f>
        <v/>
      </c>
      <c r="G10" s="76">
        <f>Assumptions!$B$8*Assumptions!$B$18*Assumptions!$B$14*Assumptions!$B$34*Assumptions!$B$28*G6*G7</f>
        <v/>
      </c>
      <c r="H10" s="76">
        <f>SUM(C10:G10)</f>
        <v/>
      </c>
    </row>
    <row r="11">
      <c r="A11" s="2" t="inlineStr">
        <is>
          <t>Saving: energy</t>
        </is>
      </c>
      <c r="B11" s="2" t="inlineStr">
        <is>
          <t>Rp B</t>
        </is>
      </c>
      <c r="C11" s="76">
        <f>Assumptions!$B$8*Assumptions!$B$19*Assumptions!$B$35*C6*C7</f>
        <v/>
      </c>
      <c r="D11" s="76">
        <f>Assumptions!$B$8*Assumptions!$B$19*Assumptions!$B$35*D6*D7</f>
        <v/>
      </c>
      <c r="E11" s="76">
        <f>Assumptions!$B$8*Assumptions!$B$19*Assumptions!$B$35*E6*E7</f>
        <v/>
      </c>
      <c r="F11" s="76">
        <f>Assumptions!$B$8*Assumptions!$B$19*Assumptions!$B$35*F6*F7</f>
        <v/>
      </c>
      <c r="G11" s="76">
        <f>Assumptions!$B$8*Assumptions!$B$19*Assumptions!$B$35*G6*G7</f>
        <v/>
      </c>
      <c r="H11" s="76">
        <f>SUM(C11:G11)</f>
        <v/>
      </c>
    </row>
    <row r="12">
      <c r="A12" s="2" t="inlineStr">
        <is>
          <t>Saving: variant modification</t>
        </is>
      </c>
      <c r="B12" s="2" t="inlineStr">
        <is>
          <t>Rp B</t>
        </is>
      </c>
      <c r="C12" s="76">
        <f>Assumptions!$B$26*Assumptions!$B$27*Assumptions!$B$36*C6*C7</f>
        <v/>
      </c>
      <c r="D12" s="76">
        <f>Assumptions!$B$26*Assumptions!$B$27*Assumptions!$B$36*D6*D7</f>
        <v/>
      </c>
      <c r="E12" s="76">
        <f>Assumptions!$B$26*Assumptions!$B$27*Assumptions!$B$36*E6*E7</f>
        <v/>
      </c>
      <c r="F12" s="76">
        <f>Assumptions!$B$26*Assumptions!$B$27*Assumptions!$B$36*F6*F7</f>
        <v/>
      </c>
      <c r="G12" s="76">
        <f>Assumptions!$B$26*Assumptions!$B$27*Assumptions!$B$36*G6*G7</f>
        <v/>
      </c>
      <c r="H12" s="76">
        <f>SUM(C12:G12)</f>
        <v/>
      </c>
    </row>
    <row r="13">
      <c r="A13" s="3" t="inlineStr">
        <is>
          <t>Total gross savings</t>
        </is>
      </c>
      <c r="B13" s="2" t="inlineStr">
        <is>
          <t>Rp B</t>
        </is>
      </c>
      <c r="C13" s="79">
        <f>SUM(C8:C12)</f>
        <v/>
      </c>
      <c r="D13" s="79">
        <f>SUM(D8:D12)</f>
        <v/>
      </c>
      <c r="E13" s="79">
        <f>SUM(E8:E12)</f>
        <v/>
      </c>
      <c r="F13" s="79">
        <f>SUM(F8:F12)</f>
        <v/>
      </c>
      <c r="G13" s="79">
        <f>SUM(G8:G12)</f>
        <v/>
      </c>
      <c r="H13" s="79">
        <f>SUM(C13:G13)</f>
        <v/>
      </c>
    </row>
    <row r="14">
      <c r="A14" s="2" t="inlineStr">
        <is>
          <t>Investment (capex)</t>
        </is>
      </c>
      <c r="B14" s="2" t="inlineStr">
        <is>
          <t>Rp B</t>
        </is>
      </c>
      <c r="C14" s="76">
        <f>Assumptions!$B$37*Assumptions!B$44</f>
        <v/>
      </c>
      <c r="D14" s="76">
        <f>Assumptions!$B$37*Assumptions!C$44</f>
        <v/>
      </c>
      <c r="E14" s="76">
        <f>Assumptions!$B$37*Assumptions!D$44</f>
        <v/>
      </c>
      <c r="F14" s="76">
        <f>Assumptions!$B$37*Assumptions!E$44</f>
        <v/>
      </c>
      <c r="G14" s="76">
        <f>Assumptions!$B$37*Assumptions!F$44</f>
        <v/>
      </c>
      <c r="H14" s="76">
        <f>SUM(C14:G14)</f>
        <v/>
      </c>
    </row>
    <row r="15">
      <c r="A15" s="2" t="inlineStr">
        <is>
          <t>Cumulative investment</t>
        </is>
      </c>
      <c r="B15" s="2" t="inlineStr">
        <is>
          <t>Rp B</t>
        </is>
      </c>
      <c r="C15" s="76">
        <f>SUM($C14:C14)</f>
        <v/>
      </c>
      <c r="D15" s="76">
        <f>SUM($C14:D14)</f>
        <v/>
      </c>
      <c r="E15" s="76">
        <f>SUM($C14:E14)</f>
        <v/>
      </c>
      <c r="F15" s="76">
        <f>SUM($C14:F14)</f>
        <v/>
      </c>
      <c r="G15" s="76">
        <f>SUM($C14:G14)</f>
        <v/>
      </c>
    </row>
    <row r="16">
      <c r="A16" s="2" t="inlineStr">
        <is>
          <t>Running + training cost</t>
        </is>
      </c>
      <c r="B16" s="2" t="inlineStr">
        <is>
          <t>Rp B</t>
        </is>
      </c>
      <c r="C16" s="76">
        <f>C15*Assumptions!$B$38+Assumptions!$B$39</f>
        <v/>
      </c>
      <c r="D16" s="76">
        <f>D15*Assumptions!$B$38+Assumptions!$B$39</f>
        <v/>
      </c>
      <c r="E16" s="76">
        <f>E15*Assumptions!$B$38+Assumptions!$B$39</f>
        <v/>
      </c>
      <c r="F16" s="76">
        <f>F15*Assumptions!$B$38+Assumptions!$B$39</f>
        <v/>
      </c>
      <c r="G16" s="76">
        <f>G15*Assumptions!$B$38+Assumptions!$B$39</f>
        <v/>
      </c>
      <c r="H16" s="76">
        <f>SUM(C16:G16)</f>
        <v/>
      </c>
    </row>
    <row r="17">
      <c r="A17" s="3" t="inlineStr">
        <is>
          <t>Net cash flow</t>
        </is>
      </c>
      <c r="B17" s="2" t="inlineStr">
        <is>
          <t>Rp B</t>
        </is>
      </c>
      <c r="C17" s="79">
        <f>C13-C14-C16</f>
        <v/>
      </c>
      <c r="D17" s="79">
        <f>D13-D14-D16</f>
        <v/>
      </c>
      <c r="E17" s="79">
        <f>E13-E14-E16</f>
        <v/>
      </c>
      <c r="F17" s="79">
        <f>F13-F14-F16</f>
        <v/>
      </c>
      <c r="G17" s="79">
        <f>G13-G14-G16</f>
        <v/>
      </c>
      <c r="H17" s="79">
        <f>SUM(C17:G17)</f>
        <v/>
      </c>
    </row>
    <row r="18">
      <c r="A18" s="2" t="inlineStr">
        <is>
          <t>Discount factor</t>
        </is>
      </c>
      <c r="B18" s="2" t="inlineStr">
        <is>
          <t>x</t>
        </is>
      </c>
      <c r="C18" s="37">
        <f>1/(1+Assumptions!$B$9)^Assumptions!B$45</f>
        <v/>
      </c>
      <c r="D18" s="37">
        <f>1/(1+Assumptions!$B$9)^Assumptions!C$45</f>
        <v/>
      </c>
      <c r="E18" s="37">
        <f>1/(1+Assumptions!$B$9)^Assumptions!D$45</f>
        <v/>
      </c>
      <c r="F18" s="37">
        <f>1/(1+Assumptions!$B$9)^Assumptions!E$45</f>
        <v/>
      </c>
      <c r="G18" s="37">
        <f>1/(1+Assumptions!$B$9)^Assumptions!F$45</f>
        <v/>
      </c>
    </row>
    <row r="19">
      <c r="A19" s="3" t="inlineStr">
        <is>
          <t>Present value</t>
        </is>
      </c>
      <c r="B19" s="2" t="inlineStr">
        <is>
          <t>Rp B</t>
        </is>
      </c>
      <c r="C19" s="79">
        <f>C17*C18</f>
        <v/>
      </c>
      <c r="D19" s="79">
        <f>D17*D18</f>
        <v/>
      </c>
      <c r="E19" s="79">
        <f>E17*E18</f>
        <v/>
      </c>
      <c r="F19" s="79">
        <f>F17*F18</f>
        <v/>
      </c>
      <c r="G19" s="79">
        <f>G17*G18</f>
        <v/>
      </c>
      <c r="H19" s="79">
        <f>SUM(C19:G19)</f>
        <v/>
      </c>
    </row>
    <row r="20">
      <c r="A20" s="2" t="inlineStr">
        <is>
          <t>Cumulative net cash flow</t>
        </is>
      </c>
      <c r="B20" s="2" t="inlineStr">
        <is>
          <t>Rp B</t>
        </is>
      </c>
      <c r="C20" s="76">
        <f>SUM($C17:C17)</f>
        <v/>
      </c>
      <c r="D20" s="76">
        <f>SUM($C17:D17)</f>
        <v/>
      </c>
      <c r="E20" s="76">
        <f>SUM($C17:E17)</f>
        <v/>
      </c>
      <c r="F20" s="76">
        <f>SUM($C17:F17)</f>
        <v/>
      </c>
      <c r="G20" s="76">
        <f>SUM($C17:G17)</f>
        <v/>
      </c>
    </row>
    <row r="22">
      <c r="A22" s="16" t="inlineStr">
        <is>
          <t>Outputs</t>
        </is>
      </c>
    </row>
    <row r="23">
      <c r="A23" s="2" t="inlineStr">
        <is>
          <t>NPV @ discount rate</t>
        </is>
      </c>
      <c r="B23" s="2" t="inlineStr">
        <is>
          <t>Rp B</t>
        </is>
      </c>
      <c r="C23" s="79">
        <f>SUM(C19:G19)</f>
        <v/>
      </c>
    </row>
    <row r="24">
      <c r="A24" s="2" t="inlineStr">
        <is>
          <t>IRR</t>
        </is>
      </c>
      <c r="B24" s="2" t="inlineStr">
        <is>
          <t>%</t>
        </is>
      </c>
      <c r="C24" s="21">
        <f>IFERROR(IRR(C17:G17),"n/a")</f>
        <v/>
      </c>
    </row>
    <row r="25">
      <c r="A25" s="2" t="inlineStr">
        <is>
          <t>Payback year (cumulative net turns positive)</t>
        </is>
      </c>
      <c r="B25" s="2" t="inlineStr">
        <is>
          <t>year</t>
        </is>
      </c>
      <c r="C25" s="3">
        <f>IF(G20&lt;0,"Beyond 2030",2026+COUNTIF(C20:G20,"&lt;0"))</f>
        <v/>
      </c>
    </row>
    <row r="26">
      <c r="A26" s="2" t="inlineStr">
        <is>
          <t>Full run-rate savings (2025 prices)</t>
        </is>
      </c>
      <c r="B26" s="2" t="inlineStr">
        <is>
          <t>Rp B/yr</t>
        </is>
      </c>
      <c r="C26" s="79">
        <f>Assumptions!$B$8*(Assumptions!$B$22*Assumptions!B32+Assumptions!$B$20*Assumptions!B33+Assumptions!$B$18*Assumptions!$B$14*Assumptions!B34*Assumptions!$B$28+Assumptions!$B$19*Assumptions!B35)+Assumptions!$B$26*Assumptions!$B$27*Assumptions!B36</f>
        <v/>
      </c>
    </row>
    <row r="27">
      <c r="A27" s="2" t="inlineStr">
        <is>
          <t>Run-rate savings as % of conversion cost</t>
        </is>
      </c>
      <c r="B27" s="2" t="inlineStr">
        <is>
          <t>%</t>
        </is>
      </c>
      <c r="C27" s="21">
        <f>C26/Assumptions!$B$8</f>
        <v/>
      </c>
    </row>
    <row r="28">
      <c r="A28" s="2" t="inlineStr">
        <is>
          <t>Implied conversion cost index</t>
        </is>
      </c>
      <c r="B28" s="2" t="inlineStr">
        <is>
          <t>index</t>
        </is>
      </c>
      <c r="C28" s="53">
        <f>Assumptions!$B$12*(1-C27)</f>
        <v/>
      </c>
    </row>
    <row r="29">
      <c r="A29" s="2" t="inlineStr">
        <is>
          <t>Share of gap to benchmark closed</t>
        </is>
      </c>
      <c r="B29" s="2" t="inlineStr">
        <is>
          <t>%</t>
        </is>
      </c>
      <c r="C29" s="21">
        <f>(Assumptions!$B$12-C28)/(Assumptions!$B$12-Assumptions!$B$13)</f>
        <v/>
      </c>
    </row>
    <row r="30">
      <c r="A30" s="2" t="inlineStr">
        <is>
          <t>NPV incl. remaining equipment value at end-2030 (book)</t>
        </is>
      </c>
      <c r="B30" s="2" t="inlineStr">
        <is>
          <t>Rp B</t>
        </is>
      </c>
      <c r="C30" s="79">
        <f>C23+SUMPRODUCT(C14:G14,(Assumptions!$B$45:$F$45-0.5)/Assumptions!$B$11)/(1+Assumptions!$B$9)^Assumptions!$B$11</f>
        <v/>
      </c>
    </row>
    <row r="32">
      <c r="A32" s="35" t="inlineStr">
        <is>
          <t>Scenario: Base</t>
        </is>
      </c>
    </row>
    <row r="33">
      <c r="A33" s="8" t="inlineStr">
        <is>
          <t>Line item</t>
        </is>
      </c>
      <c r="B33" s="8" t="inlineStr">
        <is>
          <t>Unit</t>
        </is>
      </c>
      <c r="C33" s="8" t="inlineStr">
        <is>
          <t>2026</t>
        </is>
      </c>
      <c r="D33" s="8" t="inlineStr">
        <is>
          <t>2027</t>
        </is>
      </c>
      <c r="E33" s="8" t="inlineStr">
        <is>
          <t>2028</t>
        </is>
      </c>
      <c r="F33" s="8" t="inlineStr">
        <is>
          <t>2029</t>
        </is>
      </c>
      <c r="G33" s="8" t="inlineStr">
        <is>
          <t>2030</t>
        </is>
      </c>
      <c r="H33" s="8" t="inlineStr">
        <is>
          <t>Total</t>
        </is>
      </c>
    </row>
    <row r="34">
      <c r="A34" s="2" t="inlineStr">
        <is>
          <t>Adoption ramp-up</t>
        </is>
      </c>
      <c r="B34" s="2" t="inlineStr">
        <is>
          <t>%</t>
        </is>
      </c>
      <c r="C34" s="36">
        <f>Assumptions!B$43</f>
        <v/>
      </c>
      <c r="D34" s="36">
        <f>Assumptions!C$43</f>
        <v/>
      </c>
      <c r="E34" s="36">
        <f>Assumptions!D$43</f>
        <v/>
      </c>
      <c r="F34" s="36">
        <f>Assumptions!E$43</f>
        <v/>
      </c>
      <c r="G34" s="36">
        <f>Assumptions!F$43</f>
        <v/>
      </c>
    </row>
    <row r="35">
      <c r="A35" s="2" t="inlineStr">
        <is>
          <t>Escalation factor</t>
        </is>
      </c>
      <c r="B35" s="2" t="inlineStr">
        <is>
          <t>x</t>
        </is>
      </c>
      <c r="C35" s="37">
        <f>(1+Assumptions!$B$10)^(Assumptions!B$45-1)</f>
        <v/>
      </c>
      <c r="D35" s="37">
        <f>(1+Assumptions!$B$10)^(Assumptions!C$45-1)</f>
        <v/>
      </c>
      <c r="E35" s="37">
        <f>(1+Assumptions!$B$10)^(Assumptions!D$45-1)</f>
        <v/>
      </c>
      <c r="F35" s="37">
        <f>(1+Assumptions!$B$10)^(Assumptions!E$45-1)</f>
        <v/>
      </c>
      <c r="G35" s="37">
        <f>(1+Assumptions!$B$10)^(Assumptions!F$45-1)</f>
        <v/>
      </c>
    </row>
    <row r="36">
      <c r="A36" s="2" t="inlineStr">
        <is>
          <t>Saving: scrap</t>
        </is>
      </c>
      <c r="B36" s="2" t="inlineStr">
        <is>
          <t>Rp B</t>
        </is>
      </c>
      <c r="C36" s="76">
        <f>Assumptions!$B$8*Assumptions!$B$22*Assumptions!$C$32*C34*C35</f>
        <v/>
      </c>
      <c r="D36" s="76">
        <f>Assumptions!$B$8*Assumptions!$B$22*Assumptions!$C$32*D34*D35</f>
        <v/>
      </c>
      <c r="E36" s="76">
        <f>Assumptions!$B$8*Assumptions!$B$22*Assumptions!$C$32*E34*E35</f>
        <v/>
      </c>
      <c r="F36" s="76">
        <f>Assumptions!$B$8*Assumptions!$B$22*Assumptions!$C$32*F34*F35</f>
        <v/>
      </c>
      <c r="G36" s="76">
        <f>Assumptions!$B$8*Assumptions!$B$22*Assumptions!$C$32*G34*G35</f>
        <v/>
      </c>
      <c r="H36" s="76">
        <f>SUM(C36:G36)</f>
        <v/>
      </c>
    </row>
    <row r="37">
      <c r="A37" s="2" t="inlineStr">
        <is>
          <t>Saving: maintenance / downtime</t>
        </is>
      </c>
      <c r="B37" s="2" t="inlineStr">
        <is>
          <t>Rp B</t>
        </is>
      </c>
      <c r="C37" s="76">
        <f>Assumptions!$B$8*Assumptions!$B$20*Assumptions!$C$33*C34*C35</f>
        <v/>
      </c>
      <c r="D37" s="76">
        <f>Assumptions!$B$8*Assumptions!$B$20*Assumptions!$C$33*D34*D35</f>
        <v/>
      </c>
      <c r="E37" s="76">
        <f>Assumptions!$B$8*Assumptions!$B$20*Assumptions!$C$33*E34*E35</f>
        <v/>
      </c>
      <c r="F37" s="76">
        <f>Assumptions!$B$8*Assumptions!$B$20*Assumptions!$C$33*F34*F35</f>
        <v/>
      </c>
      <c r="G37" s="76">
        <f>Assumptions!$B$8*Assumptions!$B$20*Assumptions!$C$33*G34*G35</f>
        <v/>
      </c>
      <c r="H37" s="76">
        <f>SUM(C37:G37)</f>
        <v/>
      </c>
    </row>
    <row r="38">
      <c r="A38" s="2" t="inlineStr">
        <is>
          <t>Saving: operator NVA time</t>
        </is>
      </c>
      <c r="B38" s="2" t="inlineStr">
        <is>
          <t>Rp B</t>
        </is>
      </c>
      <c r="C38" s="76">
        <f>Assumptions!$B$8*Assumptions!$B$18*Assumptions!$B$14*Assumptions!$C$34*Assumptions!$B$28*C34*C35</f>
        <v/>
      </c>
      <c r="D38" s="76">
        <f>Assumptions!$B$8*Assumptions!$B$18*Assumptions!$B$14*Assumptions!$C$34*Assumptions!$B$28*D34*D35</f>
        <v/>
      </c>
      <c r="E38" s="76">
        <f>Assumptions!$B$8*Assumptions!$B$18*Assumptions!$B$14*Assumptions!$C$34*Assumptions!$B$28*E34*E35</f>
        <v/>
      </c>
      <c r="F38" s="76">
        <f>Assumptions!$B$8*Assumptions!$B$18*Assumptions!$B$14*Assumptions!$C$34*Assumptions!$B$28*F34*F35</f>
        <v/>
      </c>
      <c r="G38" s="76">
        <f>Assumptions!$B$8*Assumptions!$B$18*Assumptions!$B$14*Assumptions!$C$34*Assumptions!$B$28*G34*G35</f>
        <v/>
      </c>
      <c r="H38" s="76">
        <f>SUM(C38:G38)</f>
        <v/>
      </c>
    </row>
    <row r="39">
      <c r="A39" s="2" t="inlineStr">
        <is>
          <t>Saving: energy</t>
        </is>
      </c>
      <c r="B39" s="2" t="inlineStr">
        <is>
          <t>Rp B</t>
        </is>
      </c>
      <c r="C39" s="76">
        <f>Assumptions!$B$8*Assumptions!$B$19*Assumptions!$C$35*C34*C35</f>
        <v/>
      </c>
      <c r="D39" s="76">
        <f>Assumptions!$B$8*Assumptions!$B$19*Assumptions!$C$35*D34*D35</f>
        <v/>
      </c>
      <c r="E39" s="76">
        <f>Assumptions!$B$8*Assumptions!$B$19*Assumptions!$C$35*E34*E35</f>
        <v/>
      </c>
      <c r="F39" s="76">
        <f>Assumptions!$B$8*Assumptions!$B$19*Assumptions!$C$35*F34*F35</f>
        <v/>
      </c>
      <c r="G39" s="76">
        <f>Assumptions!$B$8*Assumptions!$B$19*Assumptions!$C$35*G34*G35</f>
        <v/>
      </c>
      <c r="H39" s="76">
        <f>SUM(C39:G39)</f>
        <v/>
      </c>
    </row>
    <row r="40">
      <c r="A40" s="2" t="inlineStr">
        <is>
          <t>Saving: variant modification</t>
        </is>
      </c>
      <c r="B40" s="2" t="inlineStr">
        <is>
          <t>Rp B</t>
        </is>
      </c>
      <c r="C40" s="76">
        <f>Assumptions!$B$26*Assumptions!$B$27*Assumptions!$C$36*C34*C35</f>
        <v/>
      </c>
      <c r="D40" s="76">
        <f>Assumptions!$B$26*Assumptions!$B$27*Assumptions!$C$36*D34*D35</f>
        <v/>
      </c>
      <c r="E40" s="76">
        <f>Assumptions!$B$26*Assumptions!$B$27*Assumptions!$C$36*E34*E35</f>
        <v/>
      </c>
      <c r="F40" s="76">
        <f>Assumptions!$B$26*Assumptions!$B$27*Assumptions!$C$36*F34*F35</f>
        <v/>
      </c>
      <c r="G40" s="76">
        <f>Assumptions!$B$26*Assumptions!$B$27*Assumptions!$C$36*G34*G35</f>
        <v/>
      </c>
      <c r="H40" s="76">
        <f>SUM(C40:G40)</f>
        <v/>
      </c>
    </row>
    <row r="41">
      <c r="A41" s="3" t="inlineStr">
        <is>
          <t>Total gross savings</t>
        </is>
      </c>
      <c r="B41" s="2" t="inlineStr">
        <is>
          <t>Rp B</t>
        </is>
      </c>
      <c r="C41" s="79">
        <f>SUM(C36:C40)</f>
        <v/>
      </c>
      <c r="D41" s="79">
        <f>SUM(D36:D40)</f>
        <v/>
      </c>
      <c r="E41" s="79">
        <f>SUM(E36:E40)</f>
        <v/>
      </c>
      <c r="F41" s="79">
        <f>SUM(F36:F40)</f>
        <v/>
      </c>
      <c r="G41" s="79">
        <f>SUM(G36:G40)</f>
        <v/>
      </c>
      <c r="H41" s="79">
        <f>SUM(C41:G41)</f>
        <v/>
      </c>
    </row>
    <row r="42">
      <c r="A42" s="2" t="inlineStr">
        <is>
          <t>Investment (capex)</t>
        </is>
      </c>
      <c r="B42" s="2" t="inlineStr">
        <is>
          <t>Rp B</t>
        </is>
      </c>
      <c r="C42" s="76">
        <f>Assumptions!$C$37*Assumptions!B$44</f>
        <v/>
      </c>
      <c r="D42" s="76">
        <f>Assumptions!$C$37*Assumptions!C$44</f>
        <v/>
      </c>
      <c r="E42" s="76">
        <f>Assumptions!$C$37*Assumptions!D$44</f>
        <v/>
      </c>
      <c r="F42" s="76">
        <f>Assumptions!$C$37*Assumptions!E$44</f>
        <v/>
      </c>
      <c r="G42" s="76">
        <f>Assumptions!$C$37*Assumptions!F$44</f>
        <v/>
      </c>
      <c r="H42" s="76">
        <f>SUM(C42:G42)</f>
        <v/>
      </c>
    </row>
    <row r="43">
      <c r="A43" s="2" t="inlineStr">
        <is>
          <t>Cumulative investment</t>
        </is>
      </c>
      <c r="B43" s="2" t="inlineStr">
        <is>
          <t>Rp B</t>
        </is>
      </c>
      <c r="C43" s="76">
        <f>SUM($C42:C42)</f>
        <v/>
      </c>
      <c r="D43" s="76">
        <f>SUM($C42:D42)</f>
        <v/>
      </c>
      <c r="E43" s="76">
        <f>SUM($C42:E42)</f>
        <v/>
      </c>
      <c r="F43" s="76">
        <f>SUM($C42:F42)</f>
        <v/>
      </c>
      <c r="G43" s="76">
        <f>SUM($C42:G42)</f>
        <v/>
      </c>
    </row>
    <row r="44">
      <c r="A44" s="2" t="inlineStr">
        <is>
          <t>Running + training cost</t>
        </is>
      </c>
      <c r="B44" s="2" t="inlineStr">
        <is>
          <t>Rp B</t>
        </is>
      </c>
      <c r="C44" s="76">
        <f>C43*Assumptions!$C$38+Assumptions!$C$39</f>
        <v/>
      </c>
      <c r="D44" s="76">
        <f>D43*Assumptions!$C$38+Assumptions!$C$39</f>
        <v/>
      </c>
      <c r="E44" s="76">
        <f>E43*Assumptions!$C$38+Assumptions!$C$39</f>
        <v/>
      </c>
      <c r="F44" s="76">
        <f>F43*Assumptions!$C$38+Assumptions!$C$39</f>
        <v/>
      </c>
      <c r="G44" s="76">
        <f>G43*Assumptions!$C$38+Assumptions!$C$39</f>
        <v/>
      </c>
      <c r="H44" s="76">
        <f>SUM(C44:G44)</f>
        <v/>
      </c>
    </row>
    <row r="45">
      <c r="A45" s="3" t="inlineStr">
        <is>
          <t>Net cash flow</t>
        </is>
      </c>
      <c r="B45" s="2" t="inlineStr">
        <is>
          <t>Rp B</t>
        </is>
      </c>
      <c r="C45" s="79">
        <f>C41-C42-C44</f>
        <v/>
      </c>
      <c r="D45" s="79">
        <f>D41-D42-D44</f>
        <v/>
      </c>
      <c r="E45" s="79">
        <f>E41-E42-E44</f>
        <v/>
      </c>
      <c r="F45" s="79">
        <f>F41-F42-F44</f>
        <v/>
      </c>
      <c r="G45" s="79">
        <f>G41-G42-G44</f>
        <v/>
      </c>
      <c r="H45" s="79">
        <f>SUM(C45:G45)</f>
        <v/>
      </c>
    </row>
    <row r="46">
      <c r="A46" s="2" t="inlineStr">
        <is>
          <t>Discount factor</t>
        </is>
      </c>
      <c r="B46" s="2" t="inlineStr">
        <is>
          <t>x</t>
        </is>
      </c>
      <c r="C46" s="37">
        <f>1/(1+Assumptions!$B$9)^Assumptions!B$45</f>
        <v/>
      </c>
      <c r="D46" s="37">
        <f>1/(1+Assumptions!$B$9)^Assumptions!C$45</f>
        <v/>
      </c>
      <c r="E46" s="37">
        <f>1/(1+Assumptions!$B$9)^Assumptions!D$45</f>
        <v/>
      </c>
      <c r="F46" s="37">
        <f>1/(1+Assumptions!$B$9)^Assumptions!E$45</f>
        <v/>
      </c>
      <c r="G46" s="37">
        <f>1/(1+Assumptions!$B$9)^Assumptions!F$45</f>
        <v/>
      </c>
    </row>
    <row r="47">
      <c r="A47" s="3" t="inlineStr">
        <is>
          <t>Present value</t>
        </is>
      </c>
      <c r="B47" s="2" t="inlineStr">
        <is>
          <t>Rp B</t>
        </is>
      </c>
      <c r="C47" s="79">
        <f>C45*C46</f>
        <v/>
      </c>
      <c r="D47" s="79">
        <f>D45*D46</f>
        <v/>
      </c>
      <c r="E47" s="79">
        <f>E45*E46</f>
        <v/>
      </c>
      <c r="F47" s="79">
        <f>F45*F46</f>
        <v/>
      </c>
      <c r="G47" s="79">
        <f>G45*G46</f>
        <v/>
      </c>
      <c r="H47" s="79">
        <f>SUM(C47:G47)</f>
        <v/>
      </c>
    </row>
    <row r="48">
      <c r="A48" s="2" t="inlineStr">
        <is>
          <t>Cumulative net cash flow</t>
        </is>
      </c>
      <c r="B48" s="2" t="inlineStr">
        <is>
          <t>Rp B</t>
        </is>
      </c>
      <c r="C48" s="76">
        <f>SUM($C45:C45)</f>
        <v/>
      </c>
      <c r="D48" s="76">
        <f>SUM($C45:D45)</f>
        <v/>
      </c>
      <c r="E48" s="76">
        <f>SUM($C45:E45)</f>
        <v/>
      </c>
      <c r="F48" s="76">
        <f>SUM($C45:F45)</f>
        <v/>
      </c>
      <c r="G48" s="76">
        <f>SUM($C45:G45)</f>
        <v/>
      </c>
    </row>
    <row r="50">
      <c r="A50" s="16" t="inlineStr">
        <is>
          <t>Outputs</t>
        </is>
      </c>
    </row>
    <row r="51">
      <c r="A51" s="2" t="inlineStr">
        <is>
          <t>NPV @ discount rate</t>
        </is>
      </c>
      <c r="B51" s="2" t="inlineStr">
        <is>
          <t>Rp B</t>
        </is>
      </c>
      <c r="C51" s="79">
        <f>SUM(C47:G47)</f>
        <v/>
      </c>
    </row>
    <row r="52">
      <c r="A52" s="2" t="inlineStr">
        <is>
          <t>IRR</t>
        </is>
      </c>
      <c r="B52" s="2" t="inlineStr">
        <is>
          <t>%</t>
        </is>
      </c>
      <c r="C52" s="21">
        <f>IFERROR(IRR(C45:G45),"n/a")</f>
        <v/>
      </c>
    </row>
    <row r="53">
      <c r="A53" s="2" t="inlineStr">
        <is>
          <t>Payback year (cumulative net turns positive)</t>
        </is>
      </c>
      <c r="B53" s="2" t="inlineStr">
        <is>
          <t>year</t>
        </is>
      </c>
      <c r="C53" s="3">
        <f>IF(G48&lt;0,"Beyond 2030",2026+COUNTIF(C48:G48,"&lt;0"))</f>
        <v/>
      </c>
    </row>
    <row r="54">
      <c r="A54" s="2" t="inlineStr">
        <is>
          <t>Full run-rate savings (2025 prices)</t>
        </is>
      </c>
      <c r="B54" s="2" t="inlineStr">
        <is>
          <t>Rp B/yr</t>
        </is>
      </c>
      <c r="C54" s="79">
        <f>Assumptions!$B$8*(Assumptions!$B$22*Assumptions!C32+Assumptions!$B$20*Assumptions!C33+Assumptions!$B$18*Assumptions!$B$14*Assumptions!C34*Assumptions!$B$28+Assumptions!$B$19*Assumptions!C35)+Assumptions!$B$26*Assumptions!$B$27*Assumptions!C36</f>
        <v/>
      </c>
    </row>
    <row r="55">
      <c r="A55" s="2" t="inlineStr">
        <is>
          <t>Run-rate savings as % of conversion cost</t>
        </is>
      </c>
      <c r="B55" s="2" t="inlineStr">
        <is>
          <t>%</t>
        </is>
      </c>
      <c r="C55" s="21">
        <f>C54/Assumptions!$B$8</f>
        <v/>
      </c>
    </row>
    <row r="56">
      <c r="A56" s="2" t="inlineStr">
        <is>
          <t>Implied conversion cost index</t>
        </is>
      </c>
      <c r="B56" s="2" t="inlineStr">
        <is>
          <t>index</t>
        </is>
      </c>
      <c r="C56" s="53">
        <f>Assumptions!$B$12*(1-C55)</f>
        <v/>
      </c>
    </row>
    <row r="57">
      <c r="A57" s="2" t="inlineStr">
        <is>
          <t>Share of gap to benchmark closed</t>
        </is>
      </c>
      <c r="B57" s="2" t="inlineStr">
        <is>
          <t>%</t>
        </is>
      </c>
      <c r="C57" s="21">
        <f>(Assumptions!$B$12-C56)/(Assumptions!$B$12-Assumptions!$B$13)</f>
        <v/>
      </c>
    </row>
    <row r="58">
      <c r="A58" s="2" t="inlineStr">
        <is>
          <t>NPV incl. remaining equipment value at end-2030 (book)</t>
        </is>
      </c>
      <c r="B58" s="2" t="inlineStr">
        <is>
          <t>Rp B</t>
        </is>
      </c>
      <c r="C58" s="79">
        <f>C51+SUMPRODUCT(C42:G42,(Assumptions!$B$45:$F$45-0.5)/Assumptions!$B$11)/(1+Assumptions!$B$9)^Assumptions!$B$11</f>
        <v/>
      </c>
    </row>
    <row r="60">
      <c r="A60" s="35" t="inlineStr">
        <is>
          <t>Scenario: Optimistic</t>
        </is>
      </c>
    </row>
    <row r="61">
      <c r="A61" s="8" t="inlineStr">
        <is>
          <t>Line item</t>
        </is>
      </c>
      <c r="B61" s="8" t="inlineStr">
        <is>
          <t>Unit</t>
        </is>
      </c>
      <c r="C61" s="8" t="inlineStr">
        <is>
          <t>2026</t>
        </is>
      </c>
      <c r="D61" s="8" t="inlineStr">
        <is>
          <t>2027</t>
        </is>
      </c>
      <c r="E61" s="8" t="inlineStr">
        <is>
          <t>2028</t>
        </is>
      </c>
      <c r="F61" s="8" t="inlineStr">
        <is>
          <t>2029</t>
        </is>
      </c>
      <c r="G61" s="8" t="inlineStr">
        <is>
          <t>2030</t>
        </is>
      </c>
      <c r="H61" s="8" t="inlineStr">
        <is>
          <t>Total</t>
        </is>
      </c>
    </row>
    <row r="62">
      <c r="A62" s="2" t="inlineStr">
        <is>
          <t>Adoption ramp-up</t>
        </is>
      </c>
      <c r="B62" s="2" t="inlineStr">
        <is>
          <t>%</t>
        </is>
      </c>
      <c r="C62" s="36">
        <f>Assumptions!B$43</f>
        <v/>
      </c>
      <c r="D62" s="36">
        <f>Assumptions!C$43</f>
        <v/>
      </c>
      <c r="E62" s="36">
        <f>Assumptions!D$43</f>
        <v/>
      </c>
      <c r="F62" s="36">
        <f>Assumptions!E$43</f>
        <v/>
      </c>
      <c r="G62" s="36">
        <f>Assumptions!F$43</f>
        <v/>
      </c>
    </row>
    <row r="63">
      <c r="A63" s="2" t="inlineStr">
        <is>
          <t>Escalation factor</t>
        </is>
      </c>
      <c r="B63" s="2" t="inlineStr">
        <is>
          <t>x</t>
        </is>
      </c>
      <c r="C63" s="37">
        <f>(1+Assumptions!$B$10)^(Assumptions!B$45-1)</f>
        <v/>
      </c>
      <c r="D63" s="37">
        <f>(1+Assumptions!$B$10)^(Assumptions!C$45-1)</f>
        <v/>
      </c>
      <c r="E63" s="37">
        <f>(1+Assumptions!$B$10)^(Assumptions!D$45-1)</f>
        <v/>
      </c>
      <c r="F63" s="37">
        <f>(1+Assumptions!$B$10)^(Assumptions!E$45-1)</f>
        <v/>
      </c>
      <c r="G63" s="37">
        <f>(1+Assumptions!$B$10)^(Assumptions!F$45-1)</f>
        <v/>
      </c>
    </row>
    <row r="64">
      <c r="A64" s="2" t="inlineStr">
        <is>
          <t>Saving: scrap</t>
        </is>
      </c>
      <c r="B64" s="2" t="inlineStr">
        <is>
          <t>Rp B</t>
        </is>
      </c>
      <c r="C64" s="76">
        <f>Assumptions!$B$8*Assumptions!$B$22*Assumptions!$D$32*C62*C63</f>
        <v/>
      </c>
      <c r="D64" s="76">
        <f>Assumptions!$B$8*Assumptions!$B$22*Assumptions!$D$32*D62*D63</f>
        <v/>
      </c>
      <c r="E64" s="76">
        <f>Assumptions!$B$8*Assumptions!$B$22*Assumptions!$D$32*E62*E63</f>
        <v/>
      </c>
      <c r="F64" s="76">
        <f>Assumptions!$B$8*Assumptions!$B$22*Assumptions!$D$32*F62*F63</f>
        <v/>
      </c>
      <c r="G64" s="76">
        <f>Assumptions!$B$8*Assumptions!$B$22*Assumptions!$D$32*G62*G63</f>
        <v/>
      </c>
      <c r="H64" s="76">
        <f>SUM(C64:G64)</f>
        <v/>
      </c>
    </row>
    <row r="65">
      <c r="A65" s="2" t="inlineStr">
        <is>
          <t>Saving: maintenance / downtime</t>
        </is>
      </c>
      <c r="B65" s="2" t="inlineStr">
        <is>
          <t>Rp B</t>
        </is>
      </c>
      <c r="C65" s="76">
        <f>Assumptions!$B$8*Assumptions!$B$20*Assumptions!$D$33*C62*C63</f>
        <v/>
      </c>
      <c r="D65" s="76">
        <f>Assumptions!$B$8*Assumptions!$B$20*Assumptions!$D$33*D62*D63</f>
        <v/>
      </c>
      <c r="E65" s="76">
        <f>Assumptions!$B$8*Assumptions!$B$20*Assumptions!$D$33*E62*E63</f>
        <v/>
      </c>
      <c r="F65" s="76">
        <f>Assumptions!$B$8*Assumptions!$B$20*Assumptions!$D$33*F62*F63</f>
        <v/>
      </c>
      <c r="G65" s="76">
        <f>Assumptions!$B$8*Assumptions!$B$20*Assumptions!$D$33*G62*G63</f>
        <v/>
      </c>
      <c r="H65" s="76">
        <f>SUM(C65:G65)</f>
        <v/>
      </c>
    </row>
    <row r="66">
      <c r="A66" s="2" t="inlineStr">
        <is>
          <t>Saving: operator NVA time</t>
        </is>
      </c>
      <c r="B66" s="2" t="inlineStr">
        <is>
          <t>Rp B</t>
        </is>
      </c>
      <c r="C66" s="76">
        <f>Assumptions!$B$8*Assumptions!$B$18*Assumptions!$B$14*Assumptions!$D$34*Assumptions!$B$28*C62*C63</f>
        <v/>
      </c>
      <c r="D66" s="76">
        <f>Assumptions!$B$8*Assumptions!$B$18*Assumptions!$B$14*Assumptions!$D$34*Assumptions!$B$28*D62*D63</f>
        <v/>
      </c>
      <c r="E66" s="76">
        <f>Assumptions!$B$8*Assumptions!$B$18*Assumptions!$B$14*Assumptions!$D$34*Assumptions!$B$28*E62*E63</f>
        <v/>
      </c>
      <c r="F66" s="76">
        <f>Assumptions!$B$8*Assumptions!$B$18*Assumptions!$B$14*Assumptions!$D$34*Assumptions!$B$28*F62*F63</f>
        <v/>
      </c>
      <c r="G66" s="76">
        <f>Assumptions!$B$8*Assumptions!$B$18*Assumptions!$B$14*Assumptions!$D$34*Assumptions!$B$28*G62*G63</f>
        <v/>
      </c>
      <c r="H66" s="76">
        <f>SUM(C66:G66)</f>
        <v/>
      </c>
    </row>
    <row r="67">
      <c r="A67" s="2" t="inlineStr">
        <is>
          <t>Saving: energy</t>
        </is>
      </c>
      <c r="B67" s="2" t="inlineStr">
        <is>
          <t>Rp B</t>
        </is>
      </c>
      <c r="C67" s="76">
        <f>Assumptions!$B$8*Assumptions!$B$19*Assumptions!$D$35*C62*C63</f>
        <v/>
      </c>
      <c r="D67" s="76">
        <f>Assumptions!$B$8*Assumptions!$B$19*Assumptions!$D$35*D62*D63</f>
        <v/>
      </c>
      <c r="E67" s="76">
        <f>Assumptions!$B$8*Assumptions!$B$19*Assumptions!$D$35*E62*E63</f>
        <v/>
      </c>
      <c r="F67" s="76">
        <f>Assumptions!$B$8*Assumptions!$B$19*Assumptions!$D$35*F62*F63</f>
        <v/>
      </c>
      <c r="G67" s="76">
        <f>Assumptions!$B$8*Assumptions!$B$19*Assumptions!$D$35*G62*G63</f>
        <v/>
      </c>
      <c r="H67" s="76">
        <f>SUM(C67:G67)</f>
        <v/>
      </c>
    </row>
    <row r="68">
      <c r="A68" s="2" t="inlineStr">
        <is>
          <t>Saving: variant modification</t>
        </is>
      </c>
      <c r="B68" s="2" t="inlineStr">
        <is>
          <t>Rp B</t>
        </is>
      </c>
      <c r="C68" s="76">
        <f>Assumptions!$B$26*Assumptions!$B$27*Assumptions!$D$36*C62*C63</f>
        <v/>
      </c>
      <c r="D68" s="76">
        <f>Assumptions!$B$26*Assumptions!$B$27*Assumptions!$D$36*D62*D63</f>
        <v/>
      </c>
      <c r="E68" s="76">
        <f>Assumptions!$B$26*Assumptions!$B$27*Assumptions!$D$36*E62*E63</f>
        <v/>
      </c>
      <c r="F68" s="76">
        <f>Assumptions!$B$26*Assumptions!$B$27*Assumptions!$D$36*F62*F63</f>
        <v/>
      </c>
      <c r="G68" s="76">
        <f>Assumptions!$B$26*Assumptions!$B$27*Assumptions!$D$36*G62*G63</f>
        <v/>
      </c>
      <c r="H68" s="76">
        <f>SUM(C68:G68)</f>
        <v/>
      </c>
    </row>
    <row r="69">
      <c r="A69" s="3" t="inlineStr">
        <is>
          <t>Total gross savings</t>
        </is>
      </c>
      <c r="B69" s="2" t="inlineStr">
        <is>
          <t>Rp B</t>
        </is>
      </c>
      <c r="C69" s="79">
        <f>SUM(C64:C68)</f>
        <v/>
      </c>
      <c r="D69" s="79">
        <f>SUM(D64:D68)</f>
        <v/>
      </c>
      <c r="E69" s="79">
        <f>SUM(E64:E68)</f>
        <v/>
      </c>
      <c r="F69" s="79">
        <f>SUM(F64:F68)</f>
        <v/>
      </c>
      <c r="G69" s="79">
        <f>SUM(G64:G68)</f>
        <v/>
      </c>
      <c r="H69" s="79">
        <f>SUM(C69:G69)</f>
        <v/>
      </c>
    </row>
    <row r="70">
      <c r="A70" s="2" t="inlineStr">
        <is>
          <t>Investment (capex)</t>
        </is>
      </c>
      <c r="B70" s="2" t="inlineStr">
        <is>
          <t>Rp B</t>
        </is>
      </c>
      <c r="C70" s="76">
        <f>Assumptions!$D$37*Assumptions!B$44</f>
        <v/>
      </c>
      <c r="D70" s="76">
        <f>Assumptions!$D$37*Assumptions!C$44</f>
        <v/>
      </c>
      <c r="E70" s="76">
        <f>Assumptions!$D$37*Assumptions!D$44</f>
        <v/>
      </c>
      <c r="F70" s="76">
        <f>Assumptions!$D$37*Assumptions!E$44</f>
        <v/>
      </c>
      <c r="G70" s="76">
        <f>Assumptions!$D$37*Assumptions!F$44</f>
        <v/>
      </c>
      <c r="H70" s="76">
        <f>SUM(C70:G70)</f>
        <v/>
      </c>
    </row>
    <row r="71">
      <c r="A71" s="2" t="inlineStr">
        <is>
          <t>Cumulative investment</t>
        </is>
      </c>
      <c r="B71" s="2" t="inlineStr">
        <is>
          <t>Rp B</t>
        </is>
      </c>
      <c r="C71" s="76">
        <f>SUM($C70:C70)</f>
        <v/>
      </c>
      <c r="D71" s="76">
        <f>SUM($C70:D70)</f>
        <v/>
      </c>
      <c r="E71" s="76">
        <f>SUM($C70:E70)</f>
        <v/>
      </c>
      <c r="F71" s="76">
        <f>SUM($C70:F70)</f>
        <v/>
      </c>
      <c r="G71" s="76">
        <f>SUM($C70:G70)</f>
        <v/>
      </c>
    </row>
    <row r="72">
      <c r="A72" s="2" t="inlineStr">
        <is>
          <t>Running + training cost</t>
        </is>
      </c>
      <c r="B72" s="2" t="inlineStr">
        <is>
          <t>Rp B</t>
        </is>
      </c>
      <c r="C72" s="76">
        <f>C71*Assumptions!$D$38+Assumptions!$D$39</f>
        <v/>
      </c>
      <c r="D72" s="76">
        <f>D71*Assumptions!$D$38+Assumptions!$D$39</f>
        <v/>
      </c>
      <c r="E72" s="76">
        <f>E71*Assumptions!$D$38+Assumptions!$D$39</f>
        <v/>
      </c>
      <c r="F72" s="76">
        <f>F71*Assumptions!$D$38+Assumptions!$D$39</f>
        <v/>
      </c>
      <c r="G72" s="76">
        <f>G71*Assumptions!$D$38+Assumptions!$D$39</f>
        <v/>
      </c>
      <c r="H72" s="76">
        <f>SUM(C72:G72)</f>
        <v/>
      </c>
    </row>
    <row r="73">
      <c r="A73" s="3" t="inlineStr">
        <is>
          <t>Net cash flow</t>
        </is>
      </c>
      <c r="B73" s="2" t="inlineStr">
        <is>
          <t>Rp B</t>
        </is>
      </c>
      <c r="C73" s="79">
        <f>C69-C70-C72</f>
        <v/>
      </c>
      <c r="D73" s="79">
        <f>D69-D70-D72</f>
        <v/>
      </c>
      <c r="E73" s="79">
        <f>E69-E70-E72</f>
        <v/>
      </c>
      <c r="F73" s="79">
        <f>F69-F70-F72</f>
        <v/>
      </c>
      <c r="G73" s="79">
        <f>G69-G70-G72</f>
        <v/>
      </c>
      <c r="H73" s="79">
        <f>SUM(C73:G73)</f>
        <v/>
      </c>
    </row>
    <row r="74">
      <c r="A74" s="2" t="inlineStr">
        <is>
          <t>Discount factor</t>
        </is>
      </c>
      <c r="B74" s="2" t="inlineStr">
        <is>
          <t>x</t>
        </is>
      </c>
      <c r="C74" s="37">
        <f>1/(1+Assumptions!$B$9)^Assumptions!B$45</f>
        <v/>
      </c>
      <c r="D74" s="37">
        <f>1/(1+Assumptions!$B$9)^Assumptions!C$45</f>
        <v/>
      </c>
      <c r="E74" s="37">
        <f>1/(1+Assumptions!$B$9)^Assumptions!D$45</f>
        <v/>
      </c>
      <c r="F74" s="37">
        <f>1/(1+Assumptions!$B$9)^Assumptions!E$45</f>
        <v/>
      </c>
      <c r="G74" s="37">
        <f>1/(1+Assumptions!$B$9)^Assumptions!F$45</f>
        <v/>
      </c>
    </row>
    <row r="75">
      <c r="A75" s="3" t="inlineStr">
        <is>
          <t>Present value</t>
        </is>
      </c>
      <c r="B75" s="2" t="inlineStr">
        <is>
          <t>Rp B</t>
        </is>
      </c>
      <c r="C75" s="79">
        <f>C73*C74</f>
        <v/>
      </c>
      <c r="D75" s="79">
        <f>D73*D74</f>
        <v/>
      </c>
      <c r="E75" s="79">
        <f>E73*E74</f>
        <v/>
      </c>
      <c r="F75" s="79">
        <f>F73*F74</f>
        <v/>
      </c>
      <c r="G75" s="79">
        <f>G73*G74</f>
        <v/>
      </c>
      <c r="H75" s="79">
        <f>SUM(C75:G75)</f>
        <v/>
      </c>
    </row>
    <row r="76">
      <c r="A76" s="2" t="inlineStr">
        <is>
          <t>Cumulative net cash flow</t>
        </is>
      </c>
      <c r="B76" s="2" t="inlineStr">
        <is>
          <t>Rp B</t>
        </is>
      </c>
      <c r="C76" s="76">
        <f>SUM($C73:C73)</f>
        <v/>
      </c>
      <c r="D76" s="76">
        <f>SUM($C73:D73)</f>
        <v/>
      </c>
      <c r="E76" s="76">
        <f>SUM($C73:E73)</f>
        <v/>
      </c>
      <c r="F76" s="76">
        <f>SUM($C73:F73)</f>
        <v/>
      </c>
      <c r="G76" s="76">
        <f>SUM($C73:G73)</f>
        <v/>
      </c>
    </row>
    <row r="78">
      <c r="A78" s="16" t="inlineStr">
        <is>
          <t>Outputs</t>
        </is>
      </c>
    </row>
    <row r="79">
      <c r="A79" s="2" t="inlineStr">
        <is>
          <t>NPV @ discount rate</t>
        </is>
      </c>
      <c r="B79" s="2" t="inlineStr">
        <is>
          <t>Rp B</t>
        </is>
      </c>
      <c r="C79" s="79">
        <f>SUM(C75:G75)</f>
        <v/>
      </c>
    </row>
    <row r="80">
      <c r="A80" s="2" t="inlineStr">
        <is>
          <t>IRR</t>
        </is>
      </c>
      <c r="B80" s="2" t="inlineStr">
        <is>
          <t>%</t>
        </is>
      </c>
      <c r="C80" s="21">
        <f>IFERROR(IRR(C73:G73),"n/a")</f>
        <v/>
      </c>
    </row>
    <row r="81">
      <c r="A81" s="2" t="inlineStr">
        <is>
          <t>Payback year (cumulative net turns positive)</t>
        </is>
      </c>
      <c r="B81" s="2" t="inlineStr">
        <is>
          <t>year</t>
        </is>
      </c>
      <c r="C81" s="3">
        <f>IF(G76&lt;0,"Beyond 2030",2026+COUNTIF(C76:G76,"&lt;0"))</f>
        <v/>
      </c>
    </row>
    <row r="82">
      <c r="A82" s="2" t="inlineStr">
        <is>
          <t>Full run-rate savings (2025 prices)</t>
        </is>
      </c>
      <c r="B82" s="2" t="inlineStr">
        <is>
          <t>Rp B/yr</t>
        </is>
      </c>
      <c r="C82" s="79">
        <f>Assumptions!$B$8*(Assumptions!$B$22*Assumptions!D32+Assumptions!$B$20*Assumptions!D33+Assumptions!$B$18*Assumptions!$B$14*Assumptions!D34*Assumptions!$B$28+Assumptions!$B$19*Assumptions!D35)+Assumptions!$B$26*Assumptions!$B$27*Assumptions!D36</f>
        <v/>
      </c>
    </row>
    <row r="83">
      <c r="A83" s="2" t="inlineStr">
        <is>
          <t>Run-rate savings as % of conversion cost</t>
        </is>
      </c>
      <c r="B83" s="2" t="inlineStr">
        <is>
          <t>%</t>
        </is>
      </c>
      <c r="C83" s="21">
        <f>C82/Assumptions!$B$8</f>
        <v/>
      </c>
    </row>
    <row r="84">
      <c r="A84" s="2" t="inlineStr">
        <is>
          <t>Implied conversion cost index</t>
        </is>
      </c>
      <c r="B84" s="2" t="inlineStr">
        <is>
          <t>index</t>
        </is>
      </c>
      <c r="C84" s="53">
        <f>Assumptions!$B$12*(1-C83)</f>
        <v/>
      </c>
    </row>
    <row r="85">
      <c r="A85" s="2" t="inlineStr">
        <is>
          <t>Share of gap to benchmark closed</t>
        </is>
      </c>
      <c r="B85" s="2" t="inlineStr">
        <is>
          <t>%</t>
        </is>
      </c>
      <c r="C85" s="21">
        <f>(Assumptions!$B$12-C84)/(Assumptions!$B$12-Assumptions!$B$13)</f>
        <v/>
      </c>
    </row>
    <row r="86">
      <c r="A86" s="2" t="inlineStr">
        <is>
          <t>NPV incl. remaining equipment value at end-2030 (book)</t>
        </is>
      </c>
      <c r="B86" s="2" t="inlineStr">
        <is>
          <t>Rp B</t>
        </is>
      </c>
      <c r="C86" s="79">
        <f>C79+SUMPRODUCT(C70:G70,(Assumptions!$B$45:$F$45-0.5)/Assumptions!$B$11)/(1+Assumptions!$B$9)^Assumptions!$B$11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2" customWidth="1" min="5" max="5"/>
    <col width="12" customWidth="1" min="6" max="6"/>
  </cols>
  <sheetData>
    <row r="1">
      <c r="A1" s="1" t="inlineStr">
        <is>
          <t>Financial summary for the deck (Rp billion)</t>
        </is>
      </c>
    </row>
    <row r="3">
      <c r="A3" s="8" t="inlineStr">
        <is>
          <t>Metric</t>
        </is>
      </c>
      <c r="B3" s="8" t="inlineStr">
        <is>
          <t>Conservative</t>
        </is>
      </c>
      <c r="C3" s="8" t="inlineStr">
        <is>
          <t>Base</t>
        </is>
      </c>
      <c r="D3" s="8" t="inlineStr">
        <is>
          <t>Optimistic</t>
        </is>
      </c>
    </row>
    <row r="4">
      <c r="A4" s="3" t="inlineStr">
        <is>
          <t>NPV (10%)</t>
        </is>
      </c>
      <c r="B4" s="80">
        <f>Model!C23</f>
        <v/>
      </c>
      <c r="C4" s="80">
        <f>Model!C51</f>
        <v/>
      </c>
      <c r="D4" s="80">
        <f>Model!C79</f>
        <v/>
      </c>
    </row>
    <row r="5">
      <c r="A5" s="3" t="inlineStr">
        <is>
          <t>IRR</t>
        </is>
      </c>
      <c r="B5" s="36">
        <f>Model!C24</f>
        <v/>
      </c>
      <c r="C5" s="36">
        <f>Model!C52</f>
        <v/>
      </c>
      <c r="D5" s="36">
        <f>Model!C80</f>
        <v/>
      </c>
    </row>
    <row r="6">
      <c r="A6" s="3" t="inlineStr">
        <is>
          <t>Payback year</t>
        </is>
      </c>
      <c r="B6" s="5">
        <f>Model!C25</f>
        <v/>
      </c>
      <c r="C6" s="5">
        <f>Model!C53</f>
        <v/>
      </c>
      <c r="D6" s="5">
        <f>Model!C81</f>
        <v/>
      </c>
    </row>
    <row r="7">
      <c r="A7" s="3" t="inlineStr">
        <is>
          <t>Gross savings in 2030</t>
        </is>
      </c>
      <c r="B7" s="80">
        <f>Model!G13</f>
        <v/>
      </c>
      <c r="C7" s="80">
        <f>Model!G41</f>
        <v/>
      </c>
      <c r="D7" s="80">
        <f>Model!G69</f>
        <v/>
      </c>
    </row>
    <row r="8">
      <c r="A8" s="3" t="inlineStr">
        <is>
          <t>Full run-rate savings / yr</t>
        </is>
      </c>
      <c r="B8" s="80">
        <f>Model!C26</f>
        <v/>
      </c>
      <c r="C8" s="80">
        <f>Model!C54</f>
        <v/>
      </c>
      <c r="D8" s="80">
        <f>Model!C82</f>
        <v/>
      </c>
    </row>
    <row r="9">
      <c r="A9" s="3" t="inlineStr">
        <is>
          <t>Run-rate as % of conversion cost</t>
        </is>
      </c>
      <c r="B9" s="36">
        <f>Model!C27</f>
        <v/>
      </c>
      <c r="C9" s="36">
        <f>Model!C55</f>
        <v/>
      </c>
      <c r="D9" s="36">
        <f>Model!C83</f>
        <v/>
      </c>
    </row>
    <row r="10">
      <c r="A10" s="3" t="inlineStr">
        <is>
          <t>Implied cost index (today 106)</t>
        </is>
      </c>
      <c r="B10" s="81">
        <f>Model!C28</f>
        <v/>
      </c>
      <c r="C10" s="81">
        <f>Model!C56</f>
        <v/>
      </c>
      <c r="D10" s="81">
        <f>Model!C84</f>
        <v/>
      </c>
    </row>
    <row r="11">
      <c r="A11" s="3" t="inlineStr">
        <is>
          <t>Gap to new-player benchmark closed</t>
        </is>
      </c>
      <c r="B11" s="36">
        <f>Model!C29</f>
        <v/>
      </c>
      <c r="C11" s="36">
        <f>Model!C57</f>
        <v/>
      </c>
      <c r="D11" s="36">
        <f>Model!C85</f>
        <v/>
      </c>
    </row>
    <row r="12">
      <c r="A12" s="3" t="inlineStr">
        <is>
          <t>NPV incl. remaining equipment value</t>
        </is>
      </c>
      <c r="B12" s="80">
        <f>Model!C30</f>
        <v/>
      </c>
      <c r="C12" s="80">
        <f>Model!C58</f>
        <v/>
      </c>
      <c r="D12" s="80">
        <f>Model!C86</f>
        <v/>
      </c>
    </row>
    <row r="13">
      <c r="A13" s="3" t="inlineStr">
        <is>
          <t>Investment (Rp B)</t>
        </is>
      </c>
      <c r="B13" s="80">
        <f>Assumptions!B37</f>
        <v/>
      </c>
      <c r="C13" s="80">
        <f>Assumptions!C37</f>
        <v/>
      </c>
      <c r="D13" s="80">
        <f>Assumptions!D37</f>
        <v/>
      </c>
    </row>
    <row r="14">
      <c r="A14" s="3" t="inlineStr">
        <is>
          <t>Variant modification time (months, today 9)</t>
        </is>
      </c>
      <c r="B14" s="81">
        <f>Assumptions!B40</f>
        <v/>
      </c>
      <c r="C14" s="81">
        <f>Assumptions!C40</f>
        <v/>
      </c>
      <c r="D14" s="81">
        <f>Assumptions!D40</f>
        <v/>
      </c>
    </row>
    <row r="15">
      <c r="A15" s="3" t="inlineStr">
        <is>
          <t>Note: with pilot-light phasing the 2026 outflow is small, so IRR looks extreme. Lead with NPV and P(NPV&gt;0) from the Simulation tab, not IRR.</t>
        </is>
      </c>
    </row>
    <row r="16">
      <c r="A16" s="8" t="inlineStr">
        <is>
          <t>Base case savings by lever</t>
        </is>
      </c>
      <c r="B16" s="8" t="inlineStr">
        <is>
          <t>2026</t>
        </is>
      </c>
      <c r="C16" s="8" t="inlineStr">
        <is>
          <t>2027</t>
        </is>
      </c>
      <c r="D16" s="8" t="inlineStr">
        <is>
          <t>2028</t>
        </is>
      </c>
      <c r="E16" s="8" t="inlineStr">
        <is>
          <t>2029</t>
        </is>
      </c>
      <c r="F16" s="8" t="inlineStr">
        <is>
          <t>2030</t>
        </is>
      </c>
    </row>
    <row r="17">
      <c r="A17" s="2" t="inlineStr">
        <is>
          <t>Scrap</t>
        </is>
      </c>
      <c r="B17" s="80">
        <f>Model!C36</f>
        <v/>
      </c>
      <c r="C17" s="80">
        <f>Model!D36</f>
        <v/>
      </c>
      <c r="D17" s="80">
        <f>Model!E36</f>
        <v/>
      </c>
      <c r="E17" s="80">
        <f>Model!F36</f>
        <v/>
      </c>
      <c r="F17" s="80">
        <f>Model!G36</f>
        <v/>
      </c>
    </row>
    <row r="18">
      <c r="A18" s="2" t="inlineStr">
        <is>
          <t>Maintenance</t>
        </is>
      </c>
      <c r="B18" s="80">
        <f>Model!C37</f>
        <v/>
      </c>
      <c r="C18" s="80">
        <f>Model!D37</f>
        <v/>
      </c>
      <c r="D18" s="80">
        <f>Model!E37</f>
        <v/>
      </c>
      <c r="E18" s="80">
        <f>Model!F37</f>
        <v/>
      </c>
      <c r="F18" s="80">
        <f>Model!G37</f>
        <v/>
      </c>
    </row>
    <row r="19">
      <c r="A19" s="2" t="inlineStr">
        <is>
          <t>Operator NVA</t>
        </is>
      </c>
      <c r="B19" s="80">
        <f>Model!C38</f>
        <v/>
      </c>
      <c r="C19" s="80">
        <f>Model!D38</f>
        <v/>
      </c>
      <c r="D19" s="80">
        <f>Model!E38</f>
        <v/>
      </c>
      <c r="E19" s="80">
        <f>Model!F38</f>
        <v/>
      </c>
      <c r="F19" s="80">
        <f>Model!G38</f>
        <v/>
      </c>
    </row>
    <row r="20">
      <c r="A20" s="2" t="inlineStr">
        <is>
          <t>Energy</t>
        </is>
      </c>
      <c r="B20" s="80">
        <f>Model!C39</f>
        <v/>
      </c>
      <c r="C20" s="80">
        <f>Model!D39</f>
        <v/>
      </c>
      <c r="D20" s="80">
        <f>Model!E39</f>
        <v/>
      </c>
      <c r="E20" s="80">
        <f>Model!F39</f>
        <v/>
      </c>
      <c r="F20" s="80">
        <f>Model!G39</f>
        <v/>
      </c>
    </row>
    <row r="21">
      <c r="A21" s="2" t="inlineStr">
        <is>
          <t>Variant modification</t>
        </is>
      </c>
      <c r="B21" s="80">
        <f>Model!C40</f>
        <v/>
      </c>
      <c r="C21" s="80">
        <f>Model!D40</f>
        <v/>
      </c>
      <c r="D21" s="80">
        <f>Model!E40</f>
        <v/>
      </c>
      <c r="E21" s="80">
        <f>Model!F40</f>
        <v/>
      </c>
      <c r="F21" s="80">
        <f>Model!G40</f>
        <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6" customWidth="1" min="1" max="1"/>
    <col width="22" customWidth="1" min="2" max="2"/>
    <col width="18" customWidth="1" min="3" max="3"/>
    <col width="26" customWidth="1" min="4" max="4"/>
    <col width="12" customWidth="1" min="5" max="5"/>
    <col width="12" customWidth="1" min="6" max="6"/>
    <col width="12" customWidth="1" min="7" max="7"/>
  </cols>
  <sheetData>
    <row r="1">
      <c r="A1" s="1" t="inlineStr">
        <is>
          <t>How much saving pays back the program?</t>
        </is>
      </c>
    </row>
    <row r="2">
      <c r="A2" s="2" t="inlineStr">
        <is>
          <t>Simplified: investment at start, steady savings from year 1 growing with escalation, no running cost.</t>
        </is>
      </c>
    </row>
    <row r="4">
      <c r="A4" s="2" t="inlineStr">
        <is>
          <t>Discount rate</t>
        </is>
      </c>
      <c r="B4" s="36">
        <f>Assumptions!B9</f>
        <v/>
      </c>
    </row>
    <row r="5">
      <c r="A5" s="2" t="inlineStr">
        <is>
          <t>Savings growth (escalation)</t>
        </is>
      </c>
      <c r="B5" s="36">
        <f>Assumptions!B10</f>
        <v/>
      </c>
    </row>
    <row r="6">
      <c r="A6" s="2" t="inlineStr">
        <is>
          <t>Years</t>
        </is>
      </c>
      <c r="B6" s="5">
        <f>Assumptions!B11</f>
        <v/>
      </c>
    </row>
    <row r="7">
      <c r="A7" s="3" t="inlineStr">
        <is>
          <t>Growing annuity factor (PV of Rp1 first-year saving)</t>
        </is>
      </c>
      <c r="B7" s="41">
        <f>(1-((1+B5)/(1+B4))^B6)/(B4-B5)</f>
        <v/>
      </c>
    </row>
    <row r="8">
      <c r="A8" s="2" t="inlineStr">
        <is>
          <t>Annual conversion cost (Rp B)</t>
        </is>
      </c>
      <c r="B8" s="80">
        <f>Assumptions!B8</f>
        <v/>
      </c>
    </row>
    <row r="10">
      <c r="A10" s="8" t="inlineStr">
        <is>
          <t>Investment (Rp B)</t>
        </is>
      </c>
      <c r="B10" s="8" t="inlineStr">
        <is>
          <t>Break-even first-year saving (Rp B)</t>
        </is>
      </c>
      <c r="C10" s="8" t="inlineStr">
        <is>
          <t>% of conversion cost</t>
        </is>
      </c>
      <c r="D10" s="8" t="inlineStr">
        <is>
          <t>Share of gap to benchmark that must close</t>
        </is>
      </c>
    </row>
    <row r="11">
      <c r="A11" s="73" t="n">
        <v>40</v>
      </c>
      <c r="B11" s="76">
        <f>A11/$B$7</f>
        <v/>
      </c>
      <c r="C11" s="28">
        <f>B11/$B$8</f>
        <v/>
      </c>
      <c r="D11" s="28">
        <f>C11*Assumptions!$B$12/(Assumptions!$B$12-Assumptions!$B$13)</f>
        <v/>
      </c>
    </row>
    <row r="12">
      <c r="A12" s="73" t="n">
        <v>60</v>
      </c>
      <c r="B12" s="76">
        <f>A12/$B$7</f>
        <v/>
      </c>
      <c r="C12" s="28">
        <f>B12/$B$8</f>
        <v/>
      </c>
      <c r="D12" s="28">
        <f>C12*Assumptions!$B$12/(Assumptions!$B$12-Assumptions!$B$13)</f>
        <v/>
      </c>
    </row>
    <row r="13">
      <c r="A13" s="73" t="n">
        <v>80</v>
      </c>
      <c r="B13" s="76">
        <f>A13/$B$7</f>
        <v/>
      </c>
      <c r="C13" s="28">
        <f>B13/$B$8</f>
        <v/>
      </c>
      <c r="D13" s="28">
        <f>C13*Assumptions!$B$12/(Assumptions!$B$12-Assumptions!$B$13)</f>
        <v/>
      </c>
    </row>
    <row r="14">
      <c r="A14" s="73" t="n">
        <v>100</v>
      </c>
      <c r="B14" s="76">
        <f>A14/$B$7</f>
        <v/>
      </c>
      <c r="C14" s="28">
        <f>B14/$B$8</f>
        <v/>
      </c>
      <c r="D14" s="28">
        <f>C14*Assumptions!$B$12/(Assumptions!$B$12-Assumptions!$B$13)</f>
        <v/>
      </c>
    </row>
    <row r="15">
      <c r="A15" s="73" t="n">
        <v>120</v>
      </c>
      <c r="B15" s="76">
        <f>A15/$B$7</f>
        <v/>
      </c>
      <c r="C15" s="28">
        <f>B15/$B$8</f>
        <v/>
      </c>
      <c r="D15" s="28">
        <f>C15*Assumptions!$B$12/(Assumptions!$B$12-Assumptions!$B$13)</f>
        <v/>
      </c>
    </row>
    <row r="17">
      <c r="A17" s="2" t="inlineStr">
        <is>
          <t>Reading: if break-even needs only a small share of the gap closed, the case for investing is strong.</t>
        </is>
      </c>
    </row>
    <row r="19">
      <c r="A19" s="3" t="inlineStr">
        <is>
          <t>NPV sensitivity grid (simplified): rows = investment, columns = first-year savings (Rp B)</t>
        </is>
      </c>
    </row>
    <row r="20">
      <c r="A20" s="42" t="inlineStr">
        <is>
          <t>Invest \ Savings</t>
        </is>
      </c>
      <c r="B20" s="82" t="n">
        <v>10</v>
      </c>
      <c r="C20" s="82" t="n">
        <v>20</v>
      </c>
      <c r="D20" s="82" t="n">
        <v>30</v>
      </c>
      <c r="E20" s="82" t="n">
        <v>40</v>
      </c>
      <c r="F20" s="82" t="n">
        <v>50</v>
      </c>
      <c r="G20" s="82" t="n">
        <v>60</v>
      </c>
    </row>
    <row r="21">
      <c r="A21" s="82" t="n">
        <v>40</v>
      </c>
      <c r="B21" s="83">
        <f>B$20*$B$7-$A21</f>
        <v/>
      </c>
      <c r="C21" s="83">
        <f>C$20*$B$7-$A21</f>
        <v/>
      </c>
      <c r="D21" s="83">
        <f>D$20*$B$7-$A21</f>
        <v/>
      </c>
      <c r="E21" s="83">
        <f>E$20*$B$7-$A21</f>
        <v/>
      </c>
      <c r="F21" s="83">
        <f>F$20*$B$7-$A21</f>
        <v/>
      </c>
      <c r="G21" s="83">
        <f>G$20*$B$7-$A21</f>
        <v/>
      </c>
    </row>
    <row r="22">
      <c r="A22" s="82" t="n">
        <v>60</v>
      </c>
      <c r="B22" s="83">
        <f>B$20*$B$7-$A22</f>
        <v/>
      </c>
      <c r="C22" s="83">
        <f>C$20*$B$7-$A22</f>
        <v/>
      </c>
      <c r="D22" s="83">
        <f>D$20*$B$7-$A22</f>
        <v/>
      </c>
      <c r="E22" s="83">
        <f>E$20*$B$7-$A22</f>
        <v/>
      </c>
      <c r="F22" s="83">
        <f>F$20*$B$7-$A22</f>
        <v/>
      </c>
      <c r="G22" s="83">
        <f>G$20*$B$7-$A22</f>
        <v/>
      </c>
    </row>
    <row r="23">
      <c r="A23" s="82" t="n">
        <v>80</v>
      </c>
      <c r="B23" s="83">
        <f>B$20*$B$7-$A23</f>
        <v/>
      </c>
      <c r="C23" s="83">
        <f>C$20*$B$7-$A23</f>
        <v/>
      </c>
      <c r="D23" s="83">
        <f>D$20*$B$7-$A23</f>
        <v/>
      </c>
      <c r="E23" s="83">
        <f>E$20*$B$7-$A23</f>
        <v/>
      </c>
      <c r="F23" s="83">
        <f>F$20*$B$7-$A23</f>
        <v/>
      </c>
      <c r="G23" s="83">
        <f>G$20*$B$7-$A23</f>
        <v/>
      </c>
    </row>
    <row r="24">
      <c r="A24" s="82" t="n">
        <v>100</v>
      </c>
      <c r="B24" s="83">
        <f>B$20*$B$7-$A24</f>
        <v/>
      </c>
      <c r="C24" s="83">
        <f>C$20*$B$7-$A24</f>
        <v/>
      </c>
      <c r="D24" s="83">
        <f>D$20*$B$7-$A24</f>
        <v/>
      </c>
      <c r="E24" s="83">
        <f>E$20*$B$7-$A24</f>
        <v/>
      </c>
      <c r="F24" s="83">
        <f>F$20*$B$7-$A24</f>
        <v/>
      </c>
      <c r="G24" s="83">
        <f>G$20*$B$7-$A24</f>
        <v/>
      </c>
    </row>
    <row r="25">
      <c r="A25" s="82" t="n">
        <v>120</v>
      </c>
      <c r="B25" s="83">
        <f>B$20*$B$7-$A25</f>
        <v/>
      </c>
      <c r="C25" s="83">
        <f>C$20*$B$7-$A25</f>
        <v/>
      </c>
      <c r="D25" s="83">
        <f>D$20*$B$7-$A25</f>
        <v/>
      </c>
      <c r="E25" s="83">
        <f>E$20*$B$7-$A25</f>
        <v/>
      </c>
      <c r="F25" s="83">
        <f>F$20*$B$7-$A25</f>
        <v/>
      </c>
      <c r="G25" s="83">
        <f>G$20*$B$7-$A25</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Workforce capability &amp; engineer time model (SQ3 / SQ4 workforce impact)</t>
        </is>
      </c>
    </row>
    <row r="2">
      <c r="A2" s="2" t="inlineStr">
        <is>
          <t>Formulas only. Starting points from Exhibits 6A and 7; yellow cells are academy / knowledge assumptions to defend.</t>
        </is>
      </c>
    </row>
    <row r="4">
      <c r="A4" s="8" t="inlineStr">
        <is>
          <t>Academy assumption</t>
        </is>
      </c>
      <c r="B4" s="8" t="inlineStr">
        <is>
          <t>Value</t>
        </is>
      </c>
      <c r="C4" s="8" t="inlineStr">
        <is>
          <t>Note</t>
        </is>
      </c>
    </row>
    <row r="5">
      <c r="A5" s="2" t="inlineStr">
        <is>
          <t>Promotion rate L1 -&gt; L2 per year</t>
        </is>
      </c>
      <c r="B5" s="24" t="n">
        <v>0.3</v>
      </c>
      <c r="C5" s="2" t="inlineStr">
        <is>
          <t>Share of L1 engineers reaching L2 each year via academy cohort</t>
        </is>
      </c>
    </row>
    <row r="6">
      <c r="A6" s="2" t="inlineStr">
        <is>
          <t>Promotion rate L2 -&gt; L3 per year</t>
        </is>
      </c>
      <c r="B6" s="24" t="n">
        <v>0.2</v>
      </c>
      <c r="C6" s="2" t="inlineStr">
        <is>
          <t>Needs project-based learning in the pilot</t>
        </is>
      </c>
    </row>
    <row r="7">
      <c r="A7" s="2" t="inlineStr">
        <is>
          <t>Promotion rate L3 -&gt; L4 per year</t>
        </is>
      </c>
      <c r="B7" s="24" t="n">
        <v>0.1</v>
      </c>
      <c r="C7" s="2" t="inlineStr">
        <is>
          <t>Expert level; partner / university collaboration</t>
        </is>
      </c>
    </row>
    <row r="8">
      <c r="A8" s="2" t="inlineStr">
        <is>
          <t>Annual cut in routine-support share (pct points)</t>
        </is>
      </c>
      <c r="B8" s="24" t="n">
        <v>0.04</v>
      </c>
      <c r="C8" s="2" t="inlineStr">
        <is>
          <t>From knowledge base + citizen tools absorbing troubleshooting</t>
        </is>
      </c>
    </row>
    <row r="9">
      <c r="A9" s="2" t="inlineStr">
        <is>
          <t>Floor for routine-support share</t>
        </is>
      </c>
      <c r="B9" s="24" t="n">
        <v>0.45</v>
      </c>
      <c r="C9" s="2" t="inlineStr">
        <is>
          <t>Some routine work always remains</t>
        </is>
      </c>
    </row>
    <row r="10">
      <c r="A10" s="2" t="inlineStr">
        <is>
          <t>Engineer working hours per year</t>
        </is>
      </c>
      <c r="B10" s="32" t="n">
        <v>1800</v>
      </c>
      <c r="C10" s="2" t="inlineStr">
        <is>
          <t>Per engineer</t>
        </is>
      </c>
    </row>
    <row r="11">
      <c r="A11" s="2" t="inlineStr">
        <is>
          <t>Engineers in production engineering team</t>
        </is>
      </c>
      <c r="B11" s="32" t="n">
        <v>30</v>
      </c>
      <c r="C11" s="2" t="inlineStr">
        <is>
          <t>Exhibit 7: N = 30 per field</t>
        </is>
      </c>
    </row>
    <row r="12">
      <c r="A12" s="2" t="inlineStr">
        <is>
          <t>Annual rise in critical know-how documented (pct points)</t>
        </is>
      </c>
      <c r="B12" s="24" t="n">
        <v>0.1</v>
      </c>
      <c r="C12" s="2" t="inlineStr">
        <is>
          <t>Knowledge capture sprints with seniors</t>
        </is>
      </c>
    </row>
    <row r="13">
      <c r="A13" s="2" t="inlineStr">
        <is>
          <t>Ramp-up months saved per +10 pts documented know-how</t>
        </is>
      </c>
      <c r="B13" s="32" t="n">
        <v>1.2</v>
      </c>
      <c r="C13" s="2" t="inlineStr">
        <is>
          <t>Assumption: tested in pilot cohort</t>
        </is>
      </c>
    </row>
    <row r="15">
      <c r="A15" s="8" t="inlineStr">
        <is>
          <t>Software &amp; AI (members per level)</t>
        </is>
      </c>
      <c r="B15" s="8" t="inlineStr">
        <is>
          <t>2025</t>
        </is>
      </c>
      <c r="C15" s="8" t="inlineStr">
        <is>
          <t>2026</t>
        </is>
      </c>
      <c r="D15" s="8" t="inlineStr">
        <is>
          <t>2027</t>
        </is>
      </c>
      <c r="E15" s="8" t="inlineStr">
        <is>
          <t>2028</t>
        </is>
      </c>
      <c r="F15" s="8" t="inlineStr">
        <is>
          <t>2029</t>
        </is>
      </c>
      <c r="G15" s="8" t="inlineStr">
        <is>
          <t>2030</t>
        </is>
      </c>
    </row>
    <row r="16">
      <c r="A16" s="2" t="inlineStr">
        <is>
          <t>Level 1 basic</t>
        </is>
      </c>
      <c r="B16" s="84" t="n">
        <v>20</v>
      </c>
      <c r="C16" s="78">
        <f>B16*(1-$B$5)</f>
        <v/>
      </c>
      <c r="D16" s="78">
        <f>C16*(1-$B$5)</f>
        <v/>
      </c>
      <c r="E16" s="78">
        <f>D16*(1-$B$5)</f>
        <v/>
      </c>
      <c r="F16" s="78">
        <f>E16*(1-$B$5)</f>
        <v/>
      </c>
      <c r="G16" s="78">
        <f>F16*(1-$B$5)</f>
        <v/>
      </c>
    </row>
    <row r="17">
      <c r="A17" s="2" t="inlineStr">
        <is>
          <t>Level 2 intermediate</t>
        </is>
      </c>
      <c r="B17" s="84" t="n">
        <v>8</v>
      </c>
      <c r="C17" s="78">
        <f>B17*(1-$B$6)+B16*$B$5</f>
        <v/>
      </c>
      <c r="D17" s="78">
        <f>C17*(1-$B$6)+C16*$B$5</f>
        <v/>
      </c>
      <c r="E17" s="78">
        <f>D17*(1-$B$6)+D16*$B$5</f>
        <v/>
      </c>
      <c r="F17" s="78">
        <f>E17*(1-$B$6)+E16*$B$5</f>
        <v/>
      </c>
      <c r="G17" s="78">
        <f>F17*(1-$B$6)+F16*$B$5</f>
        <v/>
      </c>
    </row>
    <row r="18">
      <c r="A18" s="2" t="inlineStr">
        <is>
          <t>Level 3 proficient</t>
        </is>
      </c>
      <c r="B18" s="84" t="n">
        <v>2</v>
      </c>
      <c r="C18" s="78">
        <f>B18*(1-$B$7)+B17*$B$6</f>
        <v/>
      </c>
      <c r="D18" s="78">
        <f>C18*(1-$B$7)+C17*$B$6</f>
        <v/>
      </c>
      <c r="E18" s="78">
        <f>D18*(1-$B$7)+D17*$B$6</f>
        <v/>
      </c>
      <c r="F18" s="78">
        <f>E18*(1-$B$7)+E17*$B$6</f>
        <v/>
      </c>
      <c r="G18" s="78">
        <f>F18*(1-$B$7)+F17*$B$6</f>
        <v/>
      </c>
    </row>
    <row r="19">
      <c r="A19" s="2" t="inlineStr">
        <is>
          <t>Level 4 expert</t>
        </is>
      </c>
      <c r="B19" s="84" t="n">
        <v>0</v>
      </c>
      <c r="C19" s="78">
        <f>B19+B18*$B$7</f>
        <v/>
      </c>
      <c r="D19" s="78">
        <f>C19+C18*$B$7</f>
        <v/>
      </c>
      <c r="E19" s="78">
        <f>D19+D18*$B$7</f>
        <v/>
      </c>
      <c r="F19" s="78">
        <f>E19+E18*$B$7</f>
        <v/>
      </c>
      <c r="G19" s="78">
        <f>F19+F18*$B$7</f>
        <v/>
      </c>
    </row>
    <row r="20">
      <c r="A20" s="3" t="inlineStr">
        <is>
          <t>Engineers at L3+</t>
        </is>
      </c>
      <c r="B20" s="53">
        <f>B18+B19</f>
        <v/>
      </c>
      <c r="C20" s="53">
        <f>C18+C19</f>
        <v/>
      </c>
      <c r="D20" s="53">
        <f>D18+D19</f>
        <v/>
      </c>
      <c r="E20" s="53">
        <f>E18+E19</f>
        <v/>
      </c>
      <c r="F20" s="53">
        <f>F18+F19</f>
        <v/>
      </c>
      <c r="G20" s="53">
        <f>G18+G19</f>
        <v/>
      </c>
    </row>
    <row r="22">
      <c r="A22" s="8" t="inlineStr">
        <is>
          <t>Programming (members per level)</t>
        </is>
      </c>
      <c r="B22" s="8" t="inlineStr">
        <is>
          <t>2025</t>
        </is>
      </c>
      <c r="C22" s="8" t="inlineStr">
        <is>
          <t>2026</t>
        </is>
      </c>
      <c r="D22" s="8" t="inlineStr">
        <is>
          <t>2027</t>
        </is>
      </c>
      <c r="E22" s="8" t="inlineStr">
        <is>
          <t>2028</t>
        </is>
      </c>
      <c r="F22" s="8" t="inlineStr">
        <is>
          <t>2029</t>
        </is>
      </c>
      <c r="G22" s="8" t="inlineStr">
        <is>
          <t>2030</t>
        </is>
      </c>
    </row>
    <row r="23">
      <c r="A23" s="2" t="inlineStr">
        <is>
          <t>Level 1 basic</t>
        </is>
      </c>
      <c r="B23" s="84" t="n">
        <v>14</v>
      </c>
      <c r="C23" s="78">
        <f>B23*(1-$B$5)</f>
        <v/>
      </c>
      <c r="D23" s="78">
        <f>C23*(1-$B$5)</f>
        <v/>
      </c>
      <c r="E23" s="78">
        <f>D23*(1-$B$5)</f>
        <v/>
      </c>
      <c r="F23" s="78">
        <f>E23*(1-$B$5)</f>
        <v/>
      </c>
      <c r="G23" s="78">
        <f>F23*(1-$B$5)</f>
        <v/>
      </c>
    </row>
    <row r="24">
      <c r="A24" s="2" t="inlineStr">
        <is>
          <t>Level 2 intermediate</t>
        </is>
      </c>
      <c r="B24" s="84" t="n">
        <v>10</v>
      </c>
      <c r="C24" s="78">
        <f>B24*(1-$B$6)+B23*$B$5</f>
        <v/>
      </c>
      <c r="D24" s="78">
        <f>C24*(1-$B$6)+C23*$B$5</f>
        <v/>
      </c>
      <c r="E24" s="78">
        <f>D24*(1-$B$6)+D23*$B$5</f>
        <v/>
      </c>
      <c r="F24" s="78">
        <f>E24*(1-$B$6)+E23*$B$5</f>
        <v/>
      </c>
      <c r="G24" s="78">
        <f>F24*(1-$B$6)+F23*$B$5</f>
        <v/>
      </c>
    </row>
    <row r="25">
      <c r="A25" s="2" t="inlineStr">
        <is>
          <t>Level 3 proficient</t>
        </is>
      </c>
      <c r="B25" s="84" t="n">
        <v>5</v>
      </c>
      <c r="C25" s="78">
        <f>B25*(1-$B$7)+B24*$B$6</f>
        <v/>
      </c>
      <c r="D25" s="78">
        <f>C25*(1-$B$7)+C24*$B$6</f>
        <v/>
      </c>
      <c r="E25" s="78">
        <f>D25*(1-$B$7)+D24*$B$6</f>
        <v/>
      </c>
      <c r="F25" s="78">
        <f>E25*(1-$B$7)+E24*$B$6</f>
        <v/>
      </c>
      <c r="G25" s="78">
        <f>F25*(1-$B$7)+F24*$B$6</f>
        <v/>
      </c>
    </row>
    <row r="26">
      <c r="A26" s="2" t="inlineStr">
        <is>
          <t>Level 4 expert</t>
        </is>
      </c>
      <c r="B26" s="84" t="n">
        <v>1</v>
      </c>
      <c r="C26" s="78">
        <f>B26+B25*$B$7</f>
        <v/>
      </c>
      <c r="D26" s="78">
        <f>C26+C25*$B$7</f>
        <v/>
      </c>
      <c r="E26" s="78">
        <f>D26+D25*$B$7</f>
        <v/>
      </c>
      <c r="F26" s="78">
        <f>E26+E25*$B$7</f>
        <v/>
      </c>
      <c r="G26" s="78">
        <f>F26+F25*$B$7</f>
        <v/>
      </c>
    </row>
    <row r="27">
      <c r="A27" s="3" t="inlineStr">
        <is>
          <t>Engineers at L3+</t>
        </is>
      </c>
      <c r="B27" s="53">
        <f>B25+B26</f>
        <v/>
      </c>
      <c r="C27" s="53">
        <f>C25+C26</f>
        <v/>
      </c>
      <c r="D27" s="53">
        <f>D25+D26</f>
        <v/>
      </c>
      <c r="E27" s="53">
        <f>E25+E26</f>
        <v/>
      </c>
      <c r="F27" s="53">
        <f>F25+F26</f>
        <v/>
      </c>
      <c r="G27" s="53">
        <f>G25+G26</f>
        <v/>
      </c>
    </row>
    <row r="29">
      <c r="A29" s="8" t="inlineStr">
        <is>
          <t>Engineer time &amp; knowledge</t>
        </is>
      </c>
      <c r="B29" s="8" t="inlineStr">
        <is>
          <t>2025</t>
        </is>
      </c>
      <c r="C29" s="8" t="inlineStr">
        <is>
          <t>2026</t>
        </is>
      </c>
      <c r="D29" s="8" t="inlineStr">
        <is>
          <t>2027</t>
        </is>
      </c>
      <c r="E29" s="8" t="inlineStr">
        <is>
          <t>2028</t>
        </is>
      </c>
      <c r="F29" s="8" t="inlineStr">
        <is>
          <t>2029</t>
        </is>
      </c>
      <c r="G29" s="8" t="inlineStr">
        <is>
          <t>2030</t>
        </is>
      </c>
    </row>
    <row r="30">
      <c r="A30" s="2" t="inlineStr">
        <is>
          <t>Routine support share</t>
        </is>
      </c>
      <c r="B30" s="20" t="n">
        <v>0.65</v>
      </c>
      <c r="C30" s="28">
        <f>MAX($B$9,B30-$B$8)</f>
        <v/>
      </c>
      <c r="D30" s="28">
        <f>MAX($B$9,C30-$B$8)</f>
        <v/>
      </c>
      <c r="E30" s="28">
        <f>MAX($B$9,D30-$B$8)</f>
        <v/>
      </c>
      <c r="F30" s="28">
        <f>MAX($B$9,E30-$B$8)</f>
        <v/>
      </c>
      <c r="G30" s="28">
        <f>MAX($B$9,F30-$B$8)</f>
        <v/>
      </c>
    </row>
    <row r="31">
      <c r="A31" s="2" t="inlineStr">
        <is>
          <t>Improvement &amp; development share</t>
        </is>
      </c>
      <c r="B31" s="28">
        <f>0.25+($B$30-B30)</f>
        <v/>
      </c>
      <c r="C31" s="28">
        <f>0.25+($B$30-C30)</f>
        <v/>
      </c>
      <c r="D31" s="28">
        <f>0.25+($B$30-D30)</f>
        <v/>
      </c>
      <c r="E31" s="28">
        <f>0.25+($B$30-E30)</f>
        <v/>
      </c>
      <c r="F31" s="28">
        <f>0.25+($B$30-F30)</f>
        <v/>
      </c>
      <c r="G31" s="28">
        <f>0.25+($B$30-G30)</f>
        <v/>
      </c>
    </row>
    <row r="32">
      <c r="A32" s="2" t="inlineStr">
        <is>
          <t>Improvement hours (team / yr)</t>
        </is>
      </c>
      <c r="B32" s="74">
        <f>B31*$B$10*$B$11</f>
        <v/>
      </c>
      <c r="C32" s="74">
        <f>C31*$B$10*$B$11</f>
        <v/>
      </c>
      <c r="D32" s="74">
        <f>D31*$B$10*$B$11</f>
        <v/>
      </c>
      <c r="E32" s="74">
        <f>E31*$B$10*$B$11</f>
        <v/>
      </c>
      <c r="F32" s="74">
        <f>F31*$B$10*$B$11</f>
        <v/>
      </c>
      <c r="G32" s="74">
        <f>G31*$B$10*$B$11</f>
        <v/>
      </c>
    </row>
    <row r="33">
      <c r="A33" s="2" t="inlineStr">
        <is>
          <t>Extra improvement hours vs 2025</t>
        </is>
      </c>
      <c r="B33" s="74">
        <f>B32-$B$32</f>
        <v/>
      </c>
      <c r="C33" s="74">
        <f>C32-$B$32</f>
        <v/>
      </c>
      <c r="D33" s="74">
        <f>D32-$B$32</f>
        <v/>
      </c>
      <c r="E33" s="74">
        <f>E32-$B$32</f>
        <v/>
      </c>
      <c r="F33" s="74">
        <f>F32-$B$32</f>
        <v/>
      </c>
      <c r="G33" s="74">
        <f>G32-$B$32</f>
        <v/>
      </c>
    </row>
    <row r="34">
      <c r="A34" s="2" t="inlineStr">
        <is>
          <t>Ideas per engineer (scales with improvement time)</t>
        </is>
      </c>
      <c r="B34" s="84" t="n">
        <v>2.4</v>
      </c>
      <c r="C34" s="78">
        <f>$B$34*C31/$B$31</f>
        <v/>
      </c>
      <c r="D34" s="78">
        <f>$B$34*D31/$B$31</f>
        <v/>
      </c>
      <c r="E34" s="78">
        <f>$B$34*E31/$B$31</f>
        <v/>
      </c>
      <c r="F34" s="78">
        <f>$B$34*F31/$B$31</f>
        <v/>
      </c>
      <c r="G34" s="78">
        <f>$B$34*G31/$B$31</f>
        <v/>
      </c>
    </row>
    <row r="35">
      <c r="A35" s="2" t="inlineStr">
        <is>
          <t>Critical know-how documented</t>
        </is>
      </c>
      <c r="B35" s="20" t="n">
        <v>0.33</v>
      </c>
      <c r="C35" s="28">
        <f>MIN(0.95,B35+$B$12)</f>
        <v/>
      </c>
      <c r="D35" s="28">
        <f>MIN(0.95,C35+$B$12)</f>
        <v/>
      </c>
      <c r="E35" s="28">
        <f>MIN(0.95,D35+$B$12)</f>
        <v/>
      </c>
      <c r="F35" s="28">
        <f>MIN(0.95,E35+$B$12)</f>
        <v/>
      </c>
      <c r="G35" s="28">
        <f>MIN(0.95,F35+$B$12)</f>
        <v/>
      </c>
    </row>
    <row r="36">
      <c r="A36" s="2" t="inlineStr">
        <is>
          <t>Months for new engineer to work independently</t>
        </is>
      </c>
      <c r="B36" s="84" t="n">
        <v>15</v>
      </c>
      <c r="C36" s="78">
        <f>MAX(6,$B$36-(C35-$B$35)*10*$B$13)</f>
        <v/>
      </c>
      <c r="D36" s="78">
        <f>MAX(6,$B$36-(D35-$B$35)*10*$B$13)</f>
        <v/>
      </c>
      <c r="E36" s="78">
        <f>MAX(6,$B$36-(E35-$B$35)*10*$B$13)</f>
        <v/>
      </c>
      <c r="F36" s="78">
        <f>MAX(6,$B$36-(F35-$B$35)*10*$B$13)</f>
        <v/>
      </c>
      <c r="G36" s="78">
        <f>MAX(6,$B$36-(G35-$B$35)*10*$B$13)</f>
        <v/>
      </c>
    </row>
    <row r="38">
      <c r="A38" s="3" t="inlineStr">
        <is>
          <t>Compare with KPI targets</t>
        </is>
      </c>
    </row>
    <row r="39">
      <c r="A39" s="2" t="inlineStr">
        <is>
          <t>Software &amp; AI engineers at L3+ in 2030 (feeds KPIs tab)</t>
        </is>
      </c>
      <c r="B39" s="53">
        <f>G20</f>
        <v/>
      </c>
    </row>
    <row r="40">
      <c r="A40" s="2" t="inlineStr">
        <is>
          <t>Programming engineers at L3+ in 2030 (feeds KPIs tab)</t>
        </is>
      </c>
      <c r="B40" s="53">
        <f>G27</f>
        <v/>
      </c>
    </row>
    <row r="41">
      <c r="A41" s="2" t="inlineStr">
        <is>
          <t>Engineer improvement share 2030 (feeds KPIs tab)</t>
        </is>
      </c>
      <c r="B41" s="21">
        <f>G31</f>
        <v/>
      </c>
    </row>
    <row r="42">
      <c r="A42" s="2" t="inlineStr">
        <is>
          <t>Extra improvement hours per year by 2030</t>
        </is>
      </c>
      <c r="B42" s="85">
        <f>G33</f>
        <v/>
      </c>
    </row>
    <row r="43">
      <c r="A43" s="2" t="inlineStr">
        <is>
          <t>Reading: if the model misses a KPI target, either the target or the academy design must change. Keep the two consistent in the deck.</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19"/>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4" customWidth="1" min="2" max="2"/>
    <col width="11" customWidth="1" min="3" max="3"/>
    <col width="15" customWidth="1" min="4" max="4"/>
    <col width="12" customWidth="1" min="5" max="5"/>
    <col width="22" customWidth="1" min="6" max="6"/>
    <col width="36" customWidth="1" min="7" max="7"/>
  </cols>
  <sheetData>
    <row r="1">
      <c r="A1" s="1" t="inlineStr">
        <is>
          <t>KPI tree: baseline from exhibits, targets are suggestions to debate</t>
        </is>
      </c>
    </row>
    <row r="3">
      <c r="A3" s="8" t="inlineStr">
        <is>
          <t>Level</t>
        </is>
      </c>
      <c r="B3" s="8" t="inlineStr">
        <is>
          <t>KPI</t>
        </is>
      </c>
      <c r="C3" s="8" t="inlineStr">
        <is>
          <t>Baseline</t>
        </is>
      </c>
      <c r="D3" s="8" t="inlineStr">
        <is>
          <t>Pilot target (2027)</t>
        </is>
      </c>
      <c r="E3" s="8" t="inlineStr">
        <is>
          <t>Target 2030</t>
        </is>
      </c>
      <c r="F3" s="8" t="inlineStr">
        <is>
          <t>Source of baseline</t>
        </is>
      </c>
      <c r="G3" s="8" t="inlineStr">
        <is>
          <t>Why judges care</t>
        </is>
      </c>
    </row>
    <row r="4">
      <c r="A4" s="47" t="inlineStr">
        <is>
          <t>Outcome: cost</t>
        </is>
      </c>
      <c r="B4" s="23" t="inlineStr">
        <is>
          <t>Conversion cost index (2023=100)</t>
        </is>
      </c>
      <c r="C4" s="25" t="n">
        <v>106</v>
      </c>
      <c r="D4" s="25" t="n">
        <v>102</v>
      </c>
      <c r="E4" s="86">
        <f>Dashboard!C10</f>
        <v/>
      </c>
      <c r="F4" s="23" t="inlineStr">
        <is>
          <t>Exhibit 3</t>
        </is>
      </c>
      <c r="G4" s="23" t="inlineStr">
        <is>
          <t>Headline competitiveness vs benchmark 89</t>
        </is>
      </c>
    </row>
    <row r="5">
      <c r="A5" s="47" t="inlineStr">
        <is>
          <t>Outcome: quality</t>
        </is>
      </c>
      <c r="B5" s="23" t="inlineStr">
        <is>
          <t>Scrap index</t>
        </is>
      </c>
      <c r="C5" s="25" t="n">
        <v>108</v>
      </c>
      <c r="D5" s="25" t="n">
        <v>95</v>
      </c>
      <c r="E5" s="25" t="n">
        <v>75</v>
      </c>
      <c r="F5" s="23" t="inlineStr">
        <is>
          <t>Exhibit 4 (VERIFY)</t>
        </is>
      </c>
      <c r="G5" s="23" t="inlineStr">
        <is>
          <t>Direct cost + quality signal</t>
        </is>
      </c>
    </row>
    <row r="6">
      <c r="A6" s="47" t="inlineStr">
        <is>
          <t>Outcome: quality</t>
        </is>
      </c>
      <c r="B6" s="23" t="inlineStr">
        <is>
          <t>Defects escaping downstream (index)</t>
        </is>
      </c>
      <c r="C6" s="25" t="n">
        <v>103</v>
      </c>
      <c r="D6" s="25" t="n">
        <v>90</v>
      </c>
      <c r="E6" s="25" t="n">
        <v>60</v>
      </c>
      <c r="F6" s="23" t="inlineStr">
        <is>
          <t>Exhibit 4 (VERIFY)</t>
        </is>
      </c>
      <c r="G6" s="23" t="inlineStr">
        <is>
          <t>Proves the closed loop works</t>
        </is>
      </c>
    </row>
    <row r="7">
      <c r="A7" s="47" t="inlineStr">
        <is>
          <t>Outcome: flexibility</t>
        </is>
      </c>
      <c r="B7" s="23" t="inlineStr">
        <is>
          <t>Equipment modification time per variant (months)</t>
        </is>
      </c>
      <c r="C7" s="25" t="n">
        <v>9</v>
      </c>
      <c r="D7" s="25" t="n">
        <v>7</v>
      </c>
      <c r="E7" s="86">
        <f>Dashboard!C14</f>
        <v/>
      </c>
      <c r="F7" s="23" t="inlineStr">
        <is>
          <t>Exhibit 4</t>
        </is>
      </c>
      <c r="G7" s="23" t="inlineStr">
        <is>
          <t>Multi-pathway readiness</t>
        </is>
      </c>
    </row>
    <row r="8">
      <c r="A8" s="47" t="inlineStr">
        <is>
          <t>Driver: process</t>
        </is>
      </c>
      <c r="B8" s="23" t="inlineStr">
        <is>
          <t>Unplanned downtime (index)</t>
        </is>
      </c>
      <c r="C8" s="25" t="n">
        <v>111</v>
      </c>
      <c r="D8" s="25" t="n">
        <v>100</v>
      </c>
      <c r="E8" s="25" t="n">
        <v>75</v>
      </c>
      <c r="F8" s="23" t="inlineStr">
        <is>
          <t>Exhibit 4</t>
        </is>
      </c>
      <c r="G8" s="23" t="inlineStr">
        <is>
          <t>Maintenance shift to predictive</t>
        </is>
      </c>
    </row>
    <row r="9">
      <c r="A9" s="47" t="inlineStr">
        <is>
          <t>Driver: process</t>
        </is>
      </c>
      <c r="B9" s="23" t="inlineStr">
        <is>
          <t>Operator NVA time (% hours)</t>
        </is>
      </c>
      <c r="C9" s="49" t="n">
        <v>0.22</v>
      </c>
      <c r="D9" s="49" t="n">
        <v>0.19</v>
      </c>
      <c r="E9" s="49" t="n">
        <v>0.15</v>
      </c>
      <c r="F9" s="23" t="inlineStr">
        <is>
          <t>Exhibit 4</t>
        </is>
      </c>
      <c r="G9" s="23" t="inlineStr">
        <is>
          <t>Productivity</t>
        </is>
      </c>
    </row>
    <row r="10">
      <c r="A10" s="47" t="inlineStr">
        <is>
          <t>Driver: process</t>
        </is>
      </c>
      <c r="B10" s="23" t="inlineStr">
        <is>
          <t>Processes on common data/interface standard (%)</t>
        </is>
      </c>
      <c r="C10" s="49" t="n">
        <v>0</v>
      </c>
      <c r="D10" s="49" t="n">
        <v>0.15</v>
      </c>
      <c r="E10" s="49" t="n">
        <v>0.8</v>
      </c>
      <c r="F10" s="23" t="inlineStr">
        <is>
          <t>New KPI</t>
        </is>
      </c>
      <c r="G10" s="23" t="inlineStr">
        <is>
          <t>Measures integration, not gadgets</t>
        </is>
      </c>
    </row>
    <row r="11">
      <c r="A11" s="47" t="inlineStr">
        <is>
          <t>Driver: people</t>
        </is>
      </c>
      <c r="B11" s="23" t="inlineStr">
        <is>
          <t>Engineer time on improvement (%)</t>
        </is>
      </c>
      <c r="C11" s="49" t="n">
        <v>0.25</v>
      </c>
      <c r="D11" s="49" t="n">
        <v>0.3</v>
      </c>
      <c r="E11" s="50">
        <f>Capability!G31</f>
        <v/>
      </c>
      <c r="F11" s="23" t="inlineStr">
        <is>
          <t>Exhibit 6A</t>
        </is>
      </c>
      <c r="G11" s="23" t="inlineStr">
        <is>
          <t>Talent not wasted</t>
        </is>
      </c>
    </row>
    <row r="12">
      <c r="A12" s="47" t="inlineStr">
        <is>
          <t>Driver: people</t>
        </is>
      </c>
      <c r="B12" s="23" t="inlineStr">
        <is>
          <t>Improvement ideas per engineer per year</t>
        </is>
      </c>
      <c r="C12" s="25" t="n">
        <v>2.4</v>
      </c>
      <c r="D12" s="25" t="n">
        <v>3</v>
      </c>
      <c r="E12" s="86">
        <f>Capability!G34</f>
        <v/>
      </c>
      <c r="F12" s="23" t="inlineStr">
        <is>
          <t>Exhibit 6A</t>
        </is>
      </c>
      <c r="G12" s="23" t="inlineStr">
        <is>
          <t>Kaizen engine restarted</t>
        </is>
      </c>
    </row>
    <row r="13">
      <c r="A13" s="47" t="inlineStr">
        <is>
          <t>Driver: people</t>
        </is>
      </c>
      <c r="B13" s="23" t="inlineStr">
        <is>
          <t>Ideas implemented (% submitted)</t>
        </is>
      </c>
      <c r="C13" s="49" t="n">
        <v>0.28</v>
      </c>
      <c r="D13" s="49" t="n">
        <v>0.35</v>
      </c>
      <c r="E13" s="49" t="n">
        <v>0.5</v>
      </c>
      <c r="F13" s="23" t="inlineStr">
        <is>
          <t>Exhibit 6A</t>
        </is>
      </c>
      <c r="G13" s="23" t="inlineStr">
        <is>
          <t>Ideas turn into value</t>
        </is>
      </c>
    </row>
    <row r="14">
      <c r="A14" s="47" t="inlineStr">
        <is>
          <t>Driver: people</t>
        </is>
      </c>
      <c r="B14" s="23" t="inlineStr">
        <is>
          <t>Operators trained on data-driven tools (%)</t>
        </is>
      </c>
      <c r="C14" s="49" t="n">
        <v>0.18</v>
      </c>
      <c r="D14" s="49" t="n">
        <v>0.5</v>
      </c>
      <c r="E14" s="49" t="n">
        <v>0.9</v>
      </c>
      <c r="F14" s="23" t="inlineStr">
        <is>
          <t>Exhibit 6B</t>
        </is>
      </c>
      <c r="G14" s="23" t="inlineStr">
        <is>
          <t>Adoption</t>
        </is>
      </c>
    </row>
    <row r="15">
      <c r="A15" s="47" t="inlineStr">
        <is>
          <t>Driver: people</t>
        </is>
      </c>
      <c r="B15" s="23" t="inlineStr">
        <is>
          <t>Operators overriding automated alerts (%)</t>
        </is>
      </c>
      <c r="C15" s="49" t="n">
        <v>0.31</v>
      </c>
      <c r="D15" s="49" t="n">
        <v>0.2</v>
      </c>
      <c r="E15" s="49" t="n">
        <v>0.1</v>
      </c>
      <c r="F15" s="23" t="inlineStr">
        <is>
          <t>Exhibit 6B</t>
        </is>
      </c>
      <c r="G15" s="23" t="inlineStr">
        <is>
          <t>Trust in the system</t>
        </is>
      </c>
    </row>
    <row r="16">
      <c r="A16" s="47" t="inlineStr">
        <is>
          <t>Driver: knowledge</t>
        </is>
      </c>
      <c r="B16" s="23" t="inlineStr">
        <is>
          <t>Critical know-how documented &amp; shared (%)</t>
        </is>
      </c>
      <c r="C16" s="49" t="n">
        <v>0.33</v>
      </c>
      <c r="D16" s="49" t="n">
        <v>0.5</v>
      </c>
      <c r="E16" s="50">
        <f>Capability!G35</f>
        <v/>
      </c>
      <c r="F16" s="23" t="inlineStr">
        <is>
          <t>Exhibit 6A</t>
        </is>
      </c>
      <c r="G16" s="23" t="inlineStr">
        <is>
          <t>Knowledge no longer in 1-2 heads</t>
        </is>
      </c>
    </row>
    <row r="17">
      <c r="A17" s="47" t="inlineStr">
        <is>
          <t>Driver: knowledge</t>
        </is>
      </c>
      <c r="B17" s="23" t="inlineStr">
        <is>
          <t>Months for new engineer to work independently</t>
        </is>
      </c>
      <c r="C17" s="25" t="n">
        <v>15</v>
      </c>
      <c r="D17" s="25" t="n">
        <v>13</v>
      </c>
      <c r="E17" s="86">
        <f>Capability!G36</f>
        <v/>
      </c>
      <c r="F17" s="23" t="inlineStr">
        <is>
          <t>Exhibit 6A</t>
        </is>
      </c>
      <c r="G17" s="23" t="inlineStr">
        <is>
          <t>Knowledge transfer speed</t>
        </is>
      </c>
    </row>
    <row r="18">
      <c r="A18" s="47" t="inlineStr">
        <is>
          <t>Driver: capability</t>
        </is>
      </c>
      <c r="B18" s="23" t="inlineStr">
        <is>
          <t>Engineers at Software &amp; AI level 3+ (of 30)</t>
        </is>
      </c>
      <c r="C18" s="25" t="n">
        <v>2</v>
      </c>
      <c r="D18" s="25" t="n">
        <v>6</v>
      </c>
      <c r="E18" s="86">
        <f>Capability!B39</f>
        <v/>
      </c>
      <c r="F18" s="23" t="inlineStr">
        <is>
          <t>Exhibit 7</t>
        </is>
      </c>
      <c r="G18" s="23" t="inlineStr">
        <is>
          <t>In-house capability built</t>
        </is>
      </c>
    </row>
    <row r="19">
      <c r="A19" s="47" t="inlineStr">
        <is>
          <t>Driver: capability</t>
        </is>
      </c>
      <c r="B19" s="23" t="inlineStr">
        <is>
          <t>Engineers at Programming level 3+ (of 30)</t>
        </is>
      </c>
      <c r="C19" s="25" t="n">
        <v>6</v>
      </c>
      <c r="D19" s="25" t="n">
        <v>10</v>
      </c>
      <c r="E19" s="86">
        <f>Capability!B40</f>
        <v/>
      </c>
      <c r="F19" s="23" t="inlineStr">
        <is>
          <t>Exhibit 7</t>
        </is>
      </c>
      <c r="G19" s="23" t="inlineStr">
        <is>
          <t>In-house capability built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6" customWidth="1" min="1" max="1"/>
    <col width="30" customWidth="1" min="2" max="2"/>
    <col width="30" customWidth="1" min="3" max="3"/>
    <col width="30" customWidth="1" min="4" max="4"/>
    <col width="30" customWidth="1" min="5" max="5"/>
    <col width="30" customWidth="1" min="6" max="6"/>
  </cols>
  <sheetData>
    <row r="1">
      <c r="A1" s="1" t="inlineStr">
        <is>
          <t>Roadmap template 2026-2030 (edit to match your chosen idea)</t>
        </is>
      </c>
    </row>
    <row r="3">
      <c r="A3" s="8" t="inlineStr">
        <is>
          <t>Phase</t>
        </is>
      </c>
      <c r="B3" s="8" t="inlineStr">
        <is>
          <t>0. Prepare (Q4 2026)</t>
        </is>
      </c>
      <c r="C3" s="8" t="inlineStr">
        <is>
          <t>1. Pilot</t>
        </is>
      </c>
      <c r="D3" s="8" t="inlineStr">
        <is>
          <t>2. Standardize</t>
        </is>
      </c>
      <c r="E3" s="8" t="inlineStr">
        <is>
          <t>3. Roll out</t>
        </is>
      </c>
      <c r="F3" s="8" t="inlineStr">
        <is>
          <t>4. Scale &amp; sustain</t>
        </is>
      </c>
    </row>
    <row r="4" ht="48" customHeight="1">
      <c r="A4" s="22" t="inlineStr">
        <is>
          <t>Quick wins (protect the ramp-up)</t>
        </is>
      </c>
      <c r="B4" s="23" t="inlineStr">
        <is>
          <t>Sealer closed loop on existing CCTV AI camera after Oct 2026 validation; digital andon for alerts; idea channel live</t>
        </is>
      </c>
      <c r="C4" s="23" t="inlineStr">
        <is>
          <t>First citizen-built tools in pilot; top-20 troubleshooting know-how captured; monthly savings tracked vs plan</t>
        </is>
      </c>
      <c r="D4" s="23" t="inlineStr">
        <is>
          <t>Copy proven quick wins to 2-3 areas</t>
        </is>
      </c>
      <c r="E4" s="23" t="inlineStr">
        <is>
          <t>Quick-win playbook in standard work</t>
        </is>
      </c>
      <c r="F4" s="23" t="inlineStr">
        <is>
          <t>Continuous kaizen pipeline</t>
        </is>
      </c>
    </row>
    <row r="5" ht="48" customHeight="1">
      <c r="A5" s="22" t="inlineStr">
        <is>
          <t>Process &amp; quality loop</t>
        </is>
      </c>
      <c r="B5" s="23" t="inlineStr">
        <is>
          <t>Map pilot area value stream; define stop/correct rules; baseline KPIs</t>
        </is>
      </c>
      <c r="C5" s="23" t="inlineStr">
        <is>
          <t>Closed-loop feedback live in pilot area (e.g. sealer -&gt; inspection)</t>
        </is>
      </c>
      <c r="D5" s="23" t="inlineStr">
        <is>
          <t>Standard loop design + yokoten to 2-3 areas</t>
        </is>
      </c>
      <c r="E5" s="23" t="inlineStr">
        <is>
          <t>All vehicle processes Karawang I &amp; II</t>
        </is>
      </c>
      <c r="F5" s="23" t="inlineStr">
        <is>
          <t>Extend to engine plants (Sunter, Karawang III)</t>
        </is>
      </c>
    </row>
    <row r="6" ht="48" customHeight="1">
      <c r="A6" s="22" t="inlineStr">
        <is>
          <t>Data &amp; equipment standard</t>
        </is>
      </c>
      <c r="B6" s="23" t="inlineStr">
        <is>
          <t>Draft common interface/data standard; inventory equipment generations</t>
        </is>
      </c>
      <c r="C6" s="23" t="inlineStr">
        <is>
          <t>Pilot area on the standard</t>
        </is>
      </c>
      <c r="D6" s="23" t="inlineStr">
        <is>
          <t>Standard mandatory for new/modified equipment</t>
        </is>
      </c>
      <c r="E6" s="23" t="inlineStr">
        <is>
          <t>Legacy retrofit by priority</t>
        </is>
      </c>
      <c r="F6" s="23" t="inlineStr">
        <is>
          <t>Variant change by configuration</t>
        </is>
      </c>
    </row>
    <row r="7" ht="48" customHeight="1">
      <c r="A7" s="22" t="inlineStr">
        <is>
          <t>People &amp; kaizen</t>
        </is>
      </c>
      <c r="B7" s="23" t="inlineStr">
        <is>
          <t>Idea channel launched; change champions per line</t>
        </is>
      </c>
      <c r="C7" s="23" t="inlineStr">
        <is>
          <t>Operators in pilot trained; first citizen-built tools</t>
        </is>
      </c>
      <c r="D7" s="23" t="inlineStr">
        <is>
          <t>Kaizen + data skills in standard training</t>
        </is>
      </c>
      <c r="E7" s="23" t="inlineStr">
        <is>
          <t>Plant-wide adoption; recognition system</t>
        </is>
      </c>
      <c r="F7" s="23" t="inlineStr">
        <is>
          <t>Self-sustaining improvement culture</t>
        </is>
      </c>
    </row>
    <row r="8" ht="48" customHeight="1">
      <c r="A8" s="22" t="inlineStr">
        <is>
          <t>Knowledge</t>
        </is>
      </c>
      <c r="B8" s="23" t="inlineStr">
        <is>
          <t>Identify critical know-how held by 1-2 seniors</t>
        </is>
      </c>
      <c r="C8" s="23" t="inlineStr">
        <is>
          <t>Capture &amp; validate top items for pilot area</t>
        </is>
      </c>
      <c r="D8" s="23" t="inlineStr">
        <is>
          <t>Knowledge base linked to standard work</t>
        </is>
      </c>
      <c r="E8" s="23" t="inlineStr">
        <is>
          <t>All critical processes covered</t>
        </is>
      </c>
      <c r="F8" s="23" t="inlineStr">
        <is>
          <t>Living knowledge updated through kaizen</t>
        </is>
      </c>
    </row>
    <row r="9" ht="48" customHeight="1">
      <c r="A9" s="22" t="inlineStr">
        <is>
          <t>Capability (Exhibit 7)</t>
        </is>
      </c>
      <c r="B9" s="23" t="inlineStr">
        <is>
          <t>Skills assessment; academy design</t>
        </is>
      </c>
      <c r="C9" s="23" t="inlineStr">
        <is>
          <t>Cohort 1 (Software &amp; AI L1 -&gt; L2)</t>
        </is>
      </c>
      <c r="D9" s="23" t="inlineStr">
        <is>
          <t>Cohort 2 + first L3 engineers</t>
        </is>
      </c>
      <c r="E9" s="23" t="inlineStr">
        <is>
          <t>Internal trainers from L3 engineers</t>
        </is>
      </c>
      <c r="F9" s="23" t="inlineStr">
        <is>
          <t>Target L3+ count reached</t>
        </is>
      </c>
    </row>
    <row r="10" ht="48" customHeight="1">
      <c r="A10" s="22" t="inlineStr">
        <is>
          <t>Technology building blocks</t>
        </is>
      </c>
      <c r="B10" s="23" t="inlineStr">
        <is>
          <t>AI camera validation completes (Oct 2026)</t>
        </is>
      </c>
      <c r="C10" s="23" t="inlineStr">
        <is>
          <t>Use validated building blocks in pilot</t>
        </is>
      </c>
      <c r="D10" s="23" t="inlineStr">
        <is>
          <t>Reusable components library</t>
        </is>
      </c>
      <c r="E10" s="23" t="inlineStr">
        <is>
          <t>Scale infrastructure</t>
        </is>
      </c>
      <c r="F10" s="23" t="inlineStr">
        <is>
          <t>Continuous upgrade</t>
        </is>
      </c>
    </row>
    <row r="11" ht="48" customHeight="1">
      <c r="A11" s="22" t="inlineStr">
        <is>
          <t>Partners</t>
        </is>
      </c>
      <c r="B11" s="23" t="inlineStr">
        <is>
          <t>Decide build vs partner per component</t>
        </is>
      </c>
      <c r="C11" s="23" t="inlineStr">
        <is>
          <t>Partners for distinctive tech only</t>
        </is>
      </c>
      <c r="D11" s="23" t="inlineStr">
        <is>
          <t>Knowledge transfer clauses</t>
        </is>
      </c>
      <c r="E11" s="23" t="inlineStr">
        <is>
          <t>Reduce dependency</t>
        </is>
      </c>
      <c r="F11" s="23" t="inlineStr">
        <is>
          <t>Strategic partnerships</t>
        </is>
      </c>
    </row>
    <row r="12" ht="48" customHeight="1">
      <c r="A12" s="22" t="inlineStr">
        <is>
          <t>Gate / go-no-go</t>
        </is>
      </c>
      <c r="B12" s="23" t="inlineStr">
        <is>
          <t>Pilot area + KPIs agreed</t>
        </is>
      </c>
      <c r="C12" s="23" t="inlineStr">
        <is>
          <t>Pilot KPIs met?</t>
        </is>
      </c>
      <c r="D12" s="23" t="inlineStr">
        <is>
          <t>Standard proven in 2+ areas?</t>
        </is>
      </c>
      <c r="E12" s="23" t="inlineStr">
        <is>
          <t>Rollout on budget?</t>
        </is>
      </c>
      <c r="F12" s="23" t="inlineStr">
        <is>
          <t>2030 targets met</t>
        </is>
      </c>
    </row>
    <row r="13" ht="48" customHeight="1">
      <c r="A13" s="22" t="inlineStr">
        <is>
          <t>Investment share</t>
        </is>
      </c>
      <c r="B13" s="51">
        <f>Assumptions!B44</f>
        <v/>
      </c>
      <c r="C13" s="51">
        <f>Assumptions!C44</f>
        <v/>
      </c>
      <c r="D13" s="51">
        <f>Assumptions!D44</f>
        <v/>
      </c>
      <c r="E13" s="51">
        <f>Assumptions!E44</f>
        <v/>
      </c>
      <c r="F13" s="51">
        <f>Assumptions!F44</f>
        <v/>
      </c>
    </row>
    <row r="15">
      <c r="A15" s="3" t="inlineStr">
        <is>
          <t>Years per phase: align to Assumptions timing row (2026 = prepare/pilot start, 2027 pilot, 2028 standardize, 2029 rollout, 2030 scale).</t>
        </is>
      </c>
    </row>
    <row r="16">
      <c r="A16" s="3" t="inlineStr">
        <is>
          <t>Why quick wins matter: Simulation Test 2b, F: if savings arrive one year late, P(NPV&gt;0) falls from ~85% to ~33%.</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6" customWidth="1" min="1" max="1"/>
    <col width="11" customWidth="1" min="2" max="2"/>
    <col width="9" customWidth="1" min="3" max="3"/>
    <col width="8" customWidth="1" min="4" max="4"/>
    <col width="48" customWidth="1" min="5" max="5"/>
    <col width="26" customWidth="1" min="6" max="6"/>
    <col width="36" customWidth="1" min="7" max="7"/>
    <col width="15" customWidth="1" min="8" max="8"/>
  </cols>
  <sheetData>
    <row r="1">
      <c r="A1" s="1" t="inlineStr">
        <is>
          <t>Risk register (score = likelihood x impact, 1-5 each)</t>
        </is>
      </c>
    </row>
    <row r="3">
      <c r="A3" s="8" t="inlineStr">
        <is>
          <t>Risk</t>
        </is>
      </c>
      <c r="B3" s="8" t="inlineStr">
        <is>
          <t>Likelihood</t>
        </is>
      </c>
      <c r="C3" s="8" t="inlineStr">
        <is>
          <t>Impact</t>
        </is>
      </c>
      <c r="D3" s="8" t="inlineStr">
        <is>
          <t>Score</t>
        </is>
      </c>
      <c r="E3" s="8" t="inlineStr">
        <is>
          <t>Mitigation built into the idea</t>
        </is>
      </c>
      <c r="F3" s="8" t="inlineStr">
        <is>
          <t>Early-warning KPI</t>
        </is>
      </c>
      <c r="G3" s="8" t="inlineStr">
        <is>
          <t>Evidence / test</t>
        </is>
      </c>
      <c r="H3" s="8" t="inlineStr">
        <is>
          <t>Owner</t>
        </is>
      </c>
    </row>
    <row r="4" ht="48" customHeight="1">
      <c r="A4" s="22" t="inlineStr">
        <is>
          <t>Operators distrust or override AI alerts</t>
        </is>
      </c>
      <c r="B4" s="25" t="n">
        <v>4</v>
      </c>
      <c r="C4" s="25" t="n">
        <v>5</v>
      </c>
      <c r="D4" s="47">
        <f>B4*C4</f>
        <v/>
      </c>
      <c r="E4" s="23" t="inlineStr">
        <is>
          <t>Co-design alerts with team leaders; explain-why alerts; training before go-live; override reasons logged as kaizen input</t>
        </is>
      </c>
      <c r="F4" s="23" t="inlineStr">
        <is>
          <t>Alert override rate (31% today)</t>
        </is>
      </c>
      <c r="G4" s="23" t="inlineStr">
        <is>
          <t>Simulation: dismissals at 31% cut the scrap gain from ~85% to ~65%</t>
        </is>
      </c>
      <c r="H4" s="23" t="inlineStr">
        <is>
          <t>People lead</t>
        </is>
      </c>
    </row>
    <row r="5" ht="48" customHeight="1">
      <c r="A5" s="22" t="inlineStr">
        <is>
          <t>Pilot adoption below plan</t>
        </is>
      </c>
      <c r="B5" s="25" t="n">
        <v>3</v>
      </c>
      <c r="C5" s="25" t="n">
        <v>5</v>
      </c>
      <c r="D5" s="47">
        <f>B5*C5</f>
        <v/>
      </c>
      <c r="E5" s="23" t="inlineStr">
        <is>
          <t>Pilot-light phasing; go/no-go gate end-2027 on adoption + scrap KPIs</t>
        </is>
      </c>
      <c r="F5" s="23" t="inlineStr">
        <is>
          <t>Adoption %, pilot KPI hit rate</t>
        </is>
      </c>
      <c r="G5" s="23" t="inlineStr">
        <is>
          <t>Simulation Test 2b: gate + pilot-light raises P(NPV&gt;0)</t>
        </is>
      </c>
      <c r="H5" s="23" t="inlineStr">
        <is>
          <t>Program lead</t>
        </is>
      </c>
    </row>
    <row r="6" ht="48" customHeight="1">
      <c r="A6" s="22" t="inlineStr">
        <is>
          <t>AI camera fails accuracy/durability validation (Oct 2026)</t>
        </is>
      </c>
      <c r="B6" s="25" t="n">
        <v>2</v>
      </c>
      <c r="C6" s="25" t="n">
        <v>4</v>
      </c>
      <c r="D6" s="47">
        <f>B6*C6</f>
        <v/>
      </c>
      <c r="E6" s="23" t="inlineStr">
        <is>
          <t>Loop design is sensor-agnostic; fall back to operator check + digital andon while model is retrained</t>
        </is>
      </c>
      <c r="F6" s="23" t="inlineStr">
        <is>
          <t>Validation accuracy vs threshold</t>
        </is>
      </c>
      <c r="G6" s="23" t="inlineStr">
        <is>
          <t>Case: validation target Oct 2026</t>
        </is>
      </c>
      <c r="H6" s="23" t="inlineStr">
        <is>
          <t>Engineering</t>
        </is>
      </c>
    </row>
    <row r="7" ht="48" customHeight="1">
      <c r="A7" s="22" t="inlineStr">
        <is>
          <t>Data integration harder than expected (legacy equipment)</t>
        </is>
      </c>
      <c r="B7" s="25" t="n">
        <v>4</v>
      </c>
      <c r="C7" s="25" t="n">
        <v>4</v>
      </c>
      <c r="D7" s="47">
        <f>B7*C7</f>
        <v/>
      </c>
      <c r="E7" s="23" t="inlineStr">
        <is>
          <t>Start with pilot area only; common interface standard for new equipment first; retrofit by priority</t>
        </is>
      </c>
      <c r="F7" s="23" t="inlineStr">
        <is>
          <t>% pilot equipment on standard</t>
        </is>
      </c>
      <c r="G7" s="23" t="inlineStr">
        <is>
          <t>Exhibit 5: no common interface today</t>
        </is>
      </c>
      <c r="H7" s="23" t="inlineStr">
        <is>
          <t>Engineering</t>
        </is>
      </c>
    </row>
    <row r="8" ht="48" customHeight="1">
      <c r="A8" s="22" t="inlineStr">
        <is>
          <t>Engineers lack software/AI skills to build in-house</t>
        </is>
      </c>
      <c r="B8" s="25" t="n">
        <v>4</v>
      </c>
      <c r="C8" s="25" t="n">
        <v>4</v>
      </c>
      <c r="D8" s="47">
        <f>B8*C8</f>
        <v/>
      </c>
      <c r="E8" s="23" t="inlineStr">
        <is>
          <t>Academy cohorts; partner for first build with knowledge-transfer clause</t>
        </is>
      </c>
      <c r="F8" s="23" t="inlineStr">
        <is>
          <t>Engineers at L3+ (Capability tab)</t>
        </is>
      </c>
      <c r="G8" s="23" t="inlineStr">
        <is>
          <t>Exhibit 7: 2 of 30 at L3+ in Software &amp; AI</t>
        </is>
      </c>
      <c r="H8" s="23" t="inlineStr">
        <is>
          <t>People lead</t>
        </is>
      </c>
    </row>
    <row r="9" ht="48" customHeight="1">
      <c r="A9" s="22" t="inlineStr">
        <is>
          <t>Senior experts lack time to capture know-how</t>
        </is>
      </c>
      <c r="B9" s="25" t="n">
        <v>3</v>
      </c>
      <c r="C9" s="25" t="n">
        <v>3</v>
      </c>
      <c r="D9" s="47">
        <f>B9*C9</f>
        <v/>
      </c>
      <c r="E9" s="23" t="inlineStr">
        <is>
          <t>Protected capture sprints; recognition; AI-assisted interview transcripts validated by experts</t>
        </is>
      </c>
      <c r="F9" s="23" t="inlineStr">
        <is>
          <t>% critical know-how documented</t>
        </is>
      </c>
      <c r="G9" s="23" t="inlineStr">
        <is>
          <t>Exhibit 6A</t>
        </is>
      </c>
      <c r="H9" s="23" t="inlineStr">
        <is>
          <t>Knowledge lead</t>
        </is>
      </c>
    </row>
    <row r="10" ht="48" customHeight="1">
      <c r="A10" s="22" t="inlineStr">
        <is>
          <t>Savings not converted to cash (freed time absorbed)</t>
        </is>
      </c>
      <c r="B10" s="25" t="n">
        <v>3</v>
      </c>
      <c r="C10" s="25" t="n">
        <v>3</v>
      </c>
      <c r="D10" s="47">
        <f>B10*C10</f>
        <v/>
      </c>
      <c r="E10" s="23" t="inlineStr">
        <is>
          <t>Redeploy freed time to kaizen with tracked outcomes; no-layoff pledge to protect trust</t>
        </is>
      </c>
      <c r="F10" s="23" t="inlineStr">
        <is>
          <t>Hours redeployed vs ideas implemented</t>
        </is>
      </c>
      <c r="G10" s="23" t="inlineStr">
        <is>
          <t>Assumptions: 50% cash realization</t>
        </is>
      </c>
      <c r="H10" s="23" t="inlineStr">
        <is>
          <t>Finance</t>
        </is>
      </c>
    </row>
    <row r="11" ht="48" customHeight="1">
      <c r="A11" s="22" t="inlineStr">
        <is>
          <t>Savings ramp slower than plan (pilot results arrive late)</t>
        </is>
      </c>
      <c r="B11" s="25" t="n">
        <v>3</v>
      </c>
      <c r="C11" s="25" t="n">
        <v>5</v>
      </c>
      <c r="D11" s="47">
        <f>B11*C11</f>
        <v/>
      </c>
      <c r="E11" s="23" t="inlineStr">
        <is>
          <t>Start Phase 0 now on existing CCTV camera; pick quick wins for 2026-27; weekly pilot KPI review</t>
        </is>
      </c>
      <c r="F11" s="23" t="inlineStr">
        <is>
          <t>Pilot savings vs plan each quarter</t>
        </is>
      </c>
      <c r="G11" s="23" t="inlineStr">
        <is>
          <t>Simulation Test 2b, F: one-year delay cuts P(NPV&gt;0) from ~85% to ~33%</t>
        </is>
      </c>
      <c r="H11" s="23" t="inlineStr">
        <is>
          <t>Program lead</t>
        </is>
      </c>
    </row>
    <row r="12" ht="48" customHeight="1">
      <c r="A12" s="22" t="inlineStr">
        <is>
          <t>BEV volume ramps faster than plan (aggressive scenario)</t>
        </is>
      </c>
      <c r="B12" s="25" t="n">
        <v>2</v>
      </c>
      <c r="C12" s="25" t="n">
        <v>4</v>
      </c>
      <c r="D12" s="47">
        <f>B12*C12</f>
        <v/>
      </c>
      <c r="E12" s="23" t="inlineStr">
        <is>
          <t>Plug-and-produce standard lowers variant change cost; simulation-first preparation</t>
        </is>
      </c>
      <c r="F12" s="23" t="inlineStr">
        <is>
          <t>Months per variant change</t>
        </is>
      </c>
      <c r="G12" s="23" t="inlineStr">
        <is>
          <t>Exhibit 8 aggressive scenario: BEV 20% by 2030</t>
        </is>
      </c>
      <c r="H12" s="23" t="inlineStr">
        <is>
          <t>Program lead</t>
        </is>
      </c>
    </row>
    <row r="13" ht="48" customHeight="1">
      <c r="A13" s="22" t="inlineStr">
        <is>
          <t>Cybersecurity / data-governance issue from connected equipment</t>
        </is>
      </c>
      <c r="B13" s="25" t="n">
        <v>2</v>
      </c>
      <c r="C13" s="25" t="n">
        <v>4</v>
      </c>
      <c r="D13" s="47">
        <f>B13*C13</f>
        <v/>
      </c>
      <c r="E13" s="23" t="inlineStr">
        <is>
          <t>Segmented plant network; access governance in the data standard</t>
        </is>
      </c>
      <c r="F13" s="23" t="inlineStr">
        <is>
          <t>Security incidents</t>
        </is>
      </c>
      <c r="G13" s="23" t="inlineStr">
        <is>
          <t>Team judgement</t>
        </is>
      </c>
      <c r="H13" s="23" t="inlineStr">
        <is>
          <t>IT</t>
        </is>
      </c>
    </row>
  </sheetData>
  <conditionalFormatting sqref="D4:D13">
    <cfRule type="cellIs" priority="1" operator="greaterThanOrEqual" dxfId="0">
      <formula>15</formula>
    </cfRule>
    <cfRule type="cellIs" priority="2" operator="between" dxfId="1">
      <formula>8</formula>
      <formula>14</formula>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 customWidth="1" min="1" max="1"/>
    <col width="40" customWidth="1" min="2" max="2"/>
    <col width="60" customWidth="1" min="3" max="3"/>
    <col width="42" customWidth="1" min="4" max="4"/>
    <col width="8" customWidth="1" min="5" max="5"/>
  </cols>
  <sheetData>
    <row r="1">
      <c r="A1" s="1" t="inlineStr">
        <is>
          <t>Likely judge questions: answer outline, evidence, owner</t>
        </is>
      </c>
    </row>
    <row r="3">
      <c r="A3" s="8" t="inlineStr">
        <is>
          <t>#</t>
        </is>
      </c>
      <c r="B3" s="8" t="inlineStr">
        <is>
          <t>Question</t>
        </is>
      </c>
      <c r="C3" s="8" t="inlineStr">
        <is>
          <t>Answer outline</t>
        </is>
      </c>
      <c r="D3" s="8" t="inlineStr">
        <is>
          <t>Evidence to cite</t>
        </is>
      </c>
      <c r="E3" s="8" t="inlineStr">
        <is>
          <t>Owner</t>
        </is>
      </c>
    </row>
    <row r="4" ht="44" customHeight="1">
      <c r="A4" s="47" t="n">
        <v>1</v>
      </c>
      <c r="B4" s="22" t="inlineStr">
        <is>
          <t>Why is this not just buying an AI camera?</t>
        </is>
      </c>
      <c r="C4" s="23" t="inlineStr">
        <is>
          <t>Tech at end-of-line raises scrap; value comes from where the check sits, how fast feedback travels, and who acts</t>
        </is>
      </c>
      <c r="D4" s="23" t="inlineStr">
        <is>
          <t>Simulation Test 1 (scenario 2 vs 4)</t>
        </is>
      </c>
      <c r="E4" s="23" t="inlineStr">
        <is>
          <t>M2</t>
        </is>
      </c>
    </row>
    <row r="5" ht="44" customHeight="1">
      <c r="A5" s="47" t="n">
        <v>2</v>
      </c>
      <c r="B5" s="22" t="inlineStr">
        <is>
          <t>What if operators don't trust the system?</t>
        </is>
      </c>
      <c r="C5" s="23" t="inlineStr">
        <is>
          <t>People design is in the idea: co-designed alerts, training first, overrides become kaizen input</t>
        </is>
      </c>
      <c r="D5" s="23" t="inlineStr">
        <is>
          <t>Exhibit 6B (31% override); dismissal chart in Simulation</t>
        </is>
      </c>
      <c r="E5" s="23" t="inlineStr">
        <is>
          <t>M1</t>
        </is>
      </c>
    </row>
    <row r="6" ht="44" customHeight="1">
      <c r="A6" s="47" t="n">
        <v>3</v>
      </c>
      <c r="B6" s="22" t="inlineStr">
        <is>
          <t>Why this pilot area?</t>
        </is>
      </c>
      <c r="C6" s="23" t="inlineStr">
        <is>
          <t>Largest gap between processes, clear defect-escape story, AI camera building block ready Oct 2026</t>
        </is>
      </c>
      <c r="D6" s="23" t="inlineStr">
        <is>
          <t>Exhibits 4, 5; gap heat map</t>
        </is>
      </c>
      <c r="E6" s="23" t="inlineStr">
        <is>
          <t>M2</t>
        </is>
      </c>
    </row>
    <row r="7" ht="44" customHeight="1">
      <c r="A7" s="47" t="n">
        <v>4</v>
      </c>
      <c r="B7" s="22" t="inlineStr">
        <is>
          <t>How confident are you in the savings?</t>
        </is>
      </c>
      <c r="C7" s="23" t="inlineStr">
        <is>
          <t>Base NPV + Monte Carlo probability; gate protects downside; ranges below external benchmarks</t>
        </is>
      </c>
      <c r="D7" s="23" t="inlineStr">
        <is>
          <t>Dashboard, Simulation Test 2/2b, Assumptions col G</t>
        </is>
      </c>
      <c r="E7" s="23" t="inlineStr">
        <is>
          <t>M3</t>
        </is>
      </c>
    </row>
    <row r="8" ht="44" customHeight="1">
      <c r="A8" s="47" t="n">
        <v>5</v>
      </c>
      <c r="B8" s="22" t="inlineStr">
        <is>
          <t>Which assumption hurts most if wrong?</t>
        </is>
      </c>
      <c r="C8" s="23" t="inlineStr">
        <is>
          <t>Name top tornado drivers and how the pilot tests each</t>
        </is>
      </c>
      <c r="D8" s="23" t="inlineStr">
        <is>
          <t>Simulation Test 3</t>
        </is>
      </c>
      <c r="E8" s="23" t="inlineStr">
        <is>
          <t>M3</t>
        </is>
      </c>
    </row>
    <row r="9" ht="44" customHeight="1">
      <c r="A9" s="47" t="n">
        <v>6</v>
      </c>
      <c r="B9" s="22" t="inlineStr">
        <is>
          <t>Why in-house instead of a vendor?</t>
        </is>
      </c>
      <c r="C9" s="23" t="inlineStr">
        <is>
          <t>Cheaper, flexible, connects to plant systems, builds capability; partner only for distinctive tech with knowledge transfer</t>
        </is>
      </c>
      <c r="D9" s="23" t="inlineStr">
        <is>
          <t>Case text on in-house strategy; Toyota insourcing (Toyota 2023)</t>
        </is>
      </c>
      <c r="E9" s="23" t="inlineStr">
        <is>
          <t>M2</t>
        </is>
      </c>
    </row>
    <row r="10" ht="44" customHeight="1">
      <c r="A10" s="47" t="n">
        <v>7</v>
      </c>
      <c r="B10" s="22" t="inlineStr">
        <is>
          <t>Will people lose jobs?</t>
        </is>
      </c>
      <c r="C10" s="23" t="inlineStr">
        <is>
          <t>Freed time redeployed to kaizen and new pathways; cash conversion only 50% assumed</t>
        </is>
      </c>
      <c r="D10" s="23" t="inlineStr">
        <is>
          <t>Assumptions row 28; Capability tab</t>
        </is>
      </c>
      <c r="E10" s="23" t="inlineStr">
        <is>
          <t>M1</t>
        </is>
      </c>
    </row>
    <row r="11" ht="44" customHeight="1">
      <c r="A11" s="47" t="n">
        <v>8</v>
      </c>
      <c r="B11" s="22" t="inlineStr">
        <is>
          <t>How does this help BEV / multi-pathway?</t>
        </is>
      </c>
      <c r="C11" s="23" t="inlineStr">
        <is>
          <t>Common interface + simulation-first preparation cut variant change months</t>
        </is>
      </c>
      <c r="D11" s="23" t="inlineStr">
        <is>
          <t>Dashboard months per variant; Exhibit 8; Siemens/Wipro PARI benchmark</t>
        </is>
      </c>
      <c r="E11" s="23" t="inlineStr">
        <is>
          <t>M2</t>
        </is>
      </c>
    </row>
    <row r="12" ht="44" customHeight="1">
      <c r="A12" s="47" t="n">
        <v>9</v>
      </c>
      <c r="B12" s="22" t="inlineStr">
        <is>
          <t>What happens if the AI camera fails validation?</t>
        </is>
      </c>
      <c r="C12" s="23" t="inlineStr">
        <is>
          <t>Loop is sensor-agnostic: digital andon + operator check while retraining</t>
        </is>
      </c>
      <c r="D12" s="23" t="inlineStr">
        <is>
          <t>Risks tab</t>
        </is>
      </c>
      <c r="E12" s="23" t="inlineStr">
        <is>
          <t>M2</t>
        </is>
      </c>
    </row>
    <row r="13" ht="44" customHeight="1">
      <c r="A13" s="47" t="n">
        <v>10</v>
      </c>
      <c r="B13" s="22" t="inlineStr">
        <is>
          <t>How do you capture senior know-how?</t>
        </is>
      </c>
      <c r="C13" s="23" t="inlineStr">
        <is>
          <t>Capture sprints, AI-assisted interviews validated by experts, linked to standard work</t>
        </is>
      </c>
      <c r="D13" s="23" t="inlineStr">
        <is>
          <t>Exhibit 6A; O-Beya precedent (Microsoft 2024)</t>
        </is>
      </c>
      <c r="E13" s="23" t="inlineStr">
        <is>
          <t>M1</t>
        </is>
      </c>
    </row>
    <row r="14" ht="44" customHeight="1">
      <c r="A14" s="47" t="n">
        <v>11</v>
      </c>
      <c r="B14" s="22" t="inlineStr">
        <is>
          <t>How is this different from what Toyota Japan does?</t>
        </is>
      </c>
      <c r="C14" s="23" t="inlineStr">
        <is>
          <t>Adapted to TMMIN: integrates quality loop + data standard + knowledge in one system, gated for local budget</t>
        </is>
      </c>
      <c r="D14" s="23" t="inlineStr">
        <is>
          <t>Ideation refs</t>
        </is>
      </c>
      <c r="E14" s="23" t="inlineStr">
        <is>
          <t>M1</t>
        </is>
      </c>
    </row>
    <row r="15" ht="44" customHeight="1">
      <c r="A15" s="47" t="n">
        <v>12</v>
      </c>
      <c r="B15" s="22" t="inlineStr">
        <is>
          <t>What do you need from TMMIN leadership now?</t>
        </is>
      </c>
      <c r="C15" s="23" t="inlineStr">
        <is>
          <t>Approve pilot area, Phase 0 budget, protected kaizen time, data standard ownership</t>
        </is>
      </c>
      <c r="D15" s="23" t="inlineStr">
        <is>
          <t>Roadmap tab</t>
        </is>
      </c>
      <c r="E15" s="23" t="inlineStr">
        <is>
          <t>M1</t>
        </is>
      </c>
    </row>
    <row r="16" ht="44" customHeight="1">
      <c r="A16" s="47" t="n">
        <v>13</v>
      </c>
      <c r="B16" s="22" t="inlineStr">
        <is>
          <t>How do you measure success?</t>
        </is>
      </c>
      <c r="C16" s="23" t="inlineStr">
        <is>
          <t>Outcome KPIs (cost index, scrap, months/variant) + driver KPIs (override rate, L3+ engineers, ideas)</t>
        </is>
      </c>
      <c r="D16" s="23" t="inlineStr">
        <is>
          <t>KPIs tab</t>
        </is>
      </c>
      <c r="E16" s="23" t="inlineStr">
        <is>
          <t>M3</t>
        </is>
      </c>
    </row>
    <row r="17" ht="44" customHeight="1">
      <c r="A17" s="47" t="n">
        <v>14</v>
      </c>
      <c r="B17" s="22" t="inlineStr">
        <is>
          <t>Why will engineers' improvement time actually rise?</t>
        </is>
      </c>
      <c r="C17" s="23" t="inlineStr">
        <is>
          <t>Knowledge base and citizen tools absorb routine troubleshooting</t>
        </is>
      </c>
      <c r="D17" s="23" t="inlineStr">
        <is>
          <t>Capability tab</t>
        </is>
      </c>
      <c r="E17" s="23" t="inlineStr">
        <is>
          <t>M1</t>
        </is>
      </c>
    </row>
    <row r="18" ht="44" customHeight="1">
      <c r="A18" s="47" t="n">
        <v>15</v>
      </c>
      <c r="B18" s="22" t="inlineStr">
        <is>
          <t>Is Rp[x]B realistic within the Rp40-120B range?</t>
        </is>
      </c>
      <c r="C18" s="23" t="inlineStr">
        <is>
          <t>Bottom-up by phase; pilot-light spends 25% before gate</t>
        </is>
      </c>
      <c r="D18" s="23" t="inlineStr">
        <is>
          <t>Assumptions rows 37, 44</t>
        </is>
      </c>
      <c r="E18" s="23" t="inlineStr">
        <is>
          <t>M3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2026-10-05T15:57:56Z</dcterms:created>
  <dcterms:modified xmlns:dcterms="http://purl.org/dc/terms/" xmlns:xsi="http://www.w3.org/2001/XMLSchema-instance" xsi:type="dcterms:W3CDTF">2026-10-05T16:48:25Z</dcterms:modified>
</cp:coreProperties>
</file>