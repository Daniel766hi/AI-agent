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drawings/drawing2.xml" ContentType="application/vnd.openxmlformats-officedocument.drawing+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drawings/drawing5.xml" ContentType="application/vnd.openxmlformats-officedocument.drawing+xml"/>
  <Override PartName="/xl/worksheets/sheet10.xml" ContentType="application/vnd.openxmlformats-officedocument.spreadsheetml.worksheet+xml"/>
  <Override PartName="/xl/drawings/drawing6.xml" ContentType="application/vnd.openxmlformats-officedocument.drawing+xml"/>
  <Override PartName="/xl/worksheets/sheet11.xml" ContentType="application/vnd.openxmlformats-officedocument.spreadsheetml.worksheet+xml"/>
  <Override PartName="/xl/drawings/drawing7.xml" ContentType="application/vnd.openxmlformats-officedocument.drawing+xml"/>
  <Override PartName="/xl/worksheets/sheet12.xml" ContentType="application/vnd.openxmlformats-officedocument.spreadsheetml.worksheet+xml"/>
  <Override PartName="/xl/drawings/drawing8.xml" ContentType="application/vnd.openxmlformats-officedocument.drawing+xml"/>
  <Override PartName="/xl/worksheets/sheet13.xml" ContentType="application/vnd.openxmlformats-officedocument.spreadsheetml.worksheet+xml"/>
  <Override PartName="/xl/drawings/drawing9.xml" ContentType="application/vnd.openxmlformats-officedocument.drawing+xml"/>
  <Override PartName="/xl/worksheets/sheet14.xml" ContentType="application/vnd.openxmlformats-officedocument.spreadsheetml.worksheet+xml"/>
  <Override PartName="/xl/drawings/drawing10.xml" ContentType="application/vnd.openxmlformats-officedocument.drawing+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drawings/drawing11.xml" ContentType="application/vnd.openxmlformats-officedocument.drawing+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WBS" sheetId="2" state="visible" r:id="rId2"/>
    <sheet xmlns:r="http://schemas.openxmlformats.org/officeDocument/2006/relationships" name="Answer_Guide" sheetId="3" state="visible" r:id="rId3"/>
    <sheet xmlns:r="http://schemas.openxmlformats.org/officeDocument/2006/relationships" name="Ideation" sheetId="4" state="visible" r:id="rId4"/>
    <sheet xmlns:r="http://schemas.openxmlformats.org/officeDocument/2006/relationships" name="Simulation9" sheetId="5" state="visible" r:id="rId5"/>
    <sheet xmlns:r="http://schemas.openxmlformats.org/officeDocument/2006/relationships" name="Simulation8" sheetId="6" state="visible" r:id="rId6"/>
    <sheet xmlns:r="http://schemas.openxmlformats.org/officeDocument/2006/relationships" name="Simulation7" sheetId="7" state="visible" r:id="rId7"/>
    <sheet xmlns:r="http://schemas.openxmlformats.org/officeDocument/2006/relationships" name="Simulation6" sheetId="8" state="visible" r:id="rId8"/>
    <sheet xmlns:r="http://schemas.openxmlformats.org/officeDocument/2006/relationships" name="Simulation5" sheetId="9" state="visible" r:id="rId9"/>
    <sheet xmlns:r="http://schemas.openxmlformats.org/officeDocument/2006/relationships" name="Simulation4" sheetId="10" state="visible" r:id="rId10"/>
    <sheet xmlns:r="http://schemas.openxmlformats.org/officeDocument/2006/relationships" name="Simulation3" sheetId="11" state="visible" r:id="rId11"/>
    <sheet xmlns:r="http://schemas.openxmlformats.org/officeDocument/2006/relationships" name="Simulation2" sheetId="12" state="visible" r:id="rId12"/>
    <sheet xmlns:r="http://schemas.openxmlformats.org/officeDocument/2006/relationships" name="Simulation1" sheetId="13" state="visible" r:id="rId13"/>
    <sheet xmlns:r="http://schemas.openxmlformats.org/officeDocument/2006/relationships" name="Simulation" sheetId="14" state="visible" r:id="rId14"/>
    <sheet xmlns:r="http://schemas.openxmlformats.org/officeDocument/2006/relationships" name="Exhibits" sheetId="15" state="visible" r:id="rId15"/>
    <sheet xmlns:r="http://schemas.openxmlformats.org/officeDocument/2006/relationships" name="Assumptions" sheetId="16" state="visible" r:id="rId16"/>
    <sheet xmlns:r="http://schemas.openxmlformats.org/officeDocument/2006/relationships" name="Model" sheetId="17" state="visible" r:id="rId17"/>
    <sheet xmlns:r="http://schemas.openxmlformats.org/officeDocument/2006/relationships" name="Dashboard" sheetId="18" state="visible" r:id="rId18"/>
    <sheet xmlns:r="http://schemas.openxmlformats.org/officeDocument/2006/relationships" name="Breakeven" sheetId="19" state="visible" r:id="rId19"/>
    <sheet xmlns:r="http://schemas.openxmlformats.org/officeDocument/2006/relationships" name="Capability" sheetId="20" state="visible" r:id="rId20"/>
    <sheet xmlns:r="http://schemas.openxmlformats.org/officeDocument/2006/relationships" name="KPIs" sheetId="21" state="visible" r:id="rId21"/>
    <sheet xmlns:r="http://schemas.openxmlformats.org/officeDocument/2006/relationships" name="Roadmap" sheetId="22" state="visible" r:id="rId22"/>
    <sheet xmlns:r="http://schemas.openxmlformats.org/officeDocument/2006/relationships" name="Risks" sheetId="23" state="visible" r:id="rId23"/>
    <sheet xmlns:r="http://schemas.openxmlformats.org/officeDocument/2006/relationships" name="QA_Bank" sheetId="24" state="visible" r:id="rId24"/>
  </sheets>
  <definedNames/>
  <calcPr calcId="124519" fullCalcOnLoad="1"/>
</workbook>
</file>

<file path=xl/styles.xml><?xml version="1.0" encoding="utf-8"?>
<styleSheet xmlns="http://schemas.openxmlformats.org/spreadsheetml/2006/main">
  <numFmts count="5">
    <numFmt numFmtId="164" formatCode="0.0"/>
    <numFmt numFmtId="165" formatCode="0.0%;(0.0%);&quot;-&quot;"/>
    <numFmt numFmtId="166" formatCode="#,##0;(#,##0);&quot;-&quot;"/>
    <numFmt numFmtId="167" formatCode="#,##0.0;(#,##0.0);&quot;-&quot;"/>
    <numFmt numFmtId="168" formatCode="0.000"/>
  </numFmts>
  <fonts count="12">
    <font>
      <name val="Calibri"/>
      <family val="2"/>
      <color theme="1"/>
      <sz val="11"/>
      <scheme val="minor"/>
    </font>
    <font>
      <name val="Arial"/>
      <b val="1"/>
      <color rgb="001F3864"/>
      <sz val="14"/>
    </font>
    <font>
      <name val="Arial"/>
      <color rgb="00000000"/>
      <sz val="10"/>
    </font>
    <font>
      <name val="Arial"/>
      <b val="1"/>
      <sz val="10"/>
    </font>
    <font>
      <name val="Arial"/>
      <color rgb="000000FF"/>
      <sz val="10"/>
    </font>
    <font>
      <name val="Arial"/>
      <color rgb="00008000"/>
      <sz val="10"/>
    </font>
    <font>
      <name val="Arial"/>
      <b val="1"/>
      <color rgb="00FFFFFF"/>
      <sz val="11"/>
    </font>
    <font>
      <name val="Arial"/>
      <b val="1"/>
      <color rgb="001F3864"/>
      <sz val="12"/>
    </font>
    <font>
      <name val="Arial"/>
      <b val="1"/>
      <color rgb="000000FF"/>
    </font>
    <font>
      <name val="Arial"/>
      <color rgb="00D9E1F2"/>
      <sz val="10"/>
    </font>
    <font>
      <name val="Arial"/>
      <sz val="10"/>
    </font>
    <font>
      <name val="Arial"/>
      <b val="1"/>
      <color rgb="00FFFFFF"/>
      <sz val="10"/>
    </font>
  </fonts>
  <fills count="7">
    <fill>
      <patternFill/>
    </fill>
    <fill>
      <patternFill patternType="gray125"/>
    </fill>
    <fill>
      <patternFill patternType="solid">
        <fgColor rgb="00FFFF00"/>
      </patternFill>
    </fill>
    <fill>
      <patternFill patternType="solid">
        <fgColor rgb="00F8CBAD"/>
      </patternFill>
    </fill>
    <fill>
      <patternFill patternType="solid">
        <fgColor rgb="001F3864"/>
      </patternFill>
    </fill>
    <fill>
      <patternFill patternType="solid">
        <fgColor rgb="00D9E1F2"/>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2" fillId="2" borderId="0" pivotButton="0" quotePrefix="0" xfId="0"/>
    <xf numFmtId="0" fontId="2" fillId="3" borderId="0" pivotButton="0" quotePrefix="0" xfId="0"/>
    <xf numFmtId="0" fontId="6" fillId="4" borderId="1" applyAlignment="1" pivotButton="0" quotePrefix="0" xfId="0">
      <alignment vertical="center" wrapText="1"/>
    </xf>
    <xf numFmtId="0" fontId="3" fillId="0" borderId="0" applyAlignment="1" pivotButton="0" quotePrefix="0" xfId="0">
      <alignment vertical="top" wrapText="1"/>
    </xf>
    <xf numFmtId="0" fontId="4" fillId="2" borderId="0" applyAlignment="1" pivotButton="0" quotePrefix="0" xfId="0">
      <alignment vertical="top" wrapText="1"/>
    </xf>
    <xf numFmtId="0" fontId="2" fillId="0" borderId="0" applyAlignment="1" pivotButton="0" quotePrefix="0" xfId="0">
      <alignment vertical="top" wrapText="1"/>
    </xf>
    <xf numFmtId="1" fontId="3" fillId="0" borderId="0" applyAlignment="1" pivotButton="0" quotePrefix="0" xfId="0">
      <alignment vertical="top" wrapText="1"/>
    </xf>
    <xf numFmtId="164" fontId="2" fillId="0" borderId="0" applyAlignment="1" pivotButton="0" quotePrefix="0" xfId="0">
      <alignment vertical="top" wrapText="1"/>
    </xf>
    <xf numFmtId="1" fontId="3" fillId="0" borderId="0" pivotButton="0" quotePrefix="0" xfId="0"/>
    <xf numFmtId="164" fontId="3" fillId="0" borderId="0" pivotButton="0" quotePrefix="0" xfId="0"/>
    <xf numFmtId="0" fontId="3" fillId="5" borderId="0" pivotButton="0" quotePrefix="0" xfId="0"/>
    <xf numFmtId="0" fontId="0" fillId="5" borderId="0" pivotButton="0" quotePrefix="0" xfId="0"/>
    <xf numFmtId="0" fontId="9" fillId="5" borderId="0" pivotButton="0" quotePrefix="0" xfId="0"/>
    <xf numFmtId="0" fontId="4" fillId="0" borderId="0" applyAlignment="1" pivotButton="0" quotePrefix="0" xfId="0">
      <alignment vertical="top" wrapText="1"/>
    </xf>
    <xf numFmtId="165" fontId="4" fillId="0" borderId="0" pivotButton="0" quotePrefix="0" xfId="0"/>
    <xf numFmtId="165" fontId="3" fillId="0" borderId="0" pivotButton="0" quotePrefix="0" xfId="0"/>
    <xf numFmtId="0" fontId="3" fillId="0" borderId="1" applyAlignment="1" pivotButton="0" quotePrefix="0" xfId="0">
      <alignment vertical="top" wrapText="1"/>
    </xf>
    <xf numFmtId="0" fontId="2" fillId="0" borderId="1" applyAlignment="1" pivotButton="0" quotePrefix="0" xfId="0">
      <alignment vertical="top" wrapText="1"/>
    </xf>
    <xf numFmtId="165" fontId="4" fillId="2" borderId="0" pivotButton="0" quotePrefix="0" xfId="0"/>
    <xf numFmtId="0" fontId="4" fillId="0" borderId="1" pivotButton="0" quotePrefix="0" xfId="0"/>
    <xf numFmtId="2" fontId="3" fillId="0" borderId="0" pivotButton="0" quotePrefix="0" xfId="0"/>
    <xf numFmtId="166" fontId="4" fillId="0" borderId="0" pivotButton="0" quotePrefix="0" xfId="0"/>
    <xf numFmtId="165" fontId="2" fillId="0" borderId="0" pivotButton="0" quotePrefix="0" xfId="0"/>
    <xf numFmtId="166" fontId="2" fillId="0" borderId="0" pivotButton="0" quotePrefix="0" xfId="0"/>
    <xf numFmtId="167" fontId="4" fillId="0" borderId="0" pivotButton="0" quotePrefix="0" xfId="0"/>
    <xf numFmtId="167" fontId="2" fillId="0" borderId="0" pivotButton="0" quotePrefix="0" xfId="0"/>
    <xf numFmtId="0" fontId="4" fillId="2" borderId="0" pivotButton="0" quotePrefix="0" xfId="0"/>
    <xf numFmtId="167" fontId="4" fillId="2" borderId="0" pivotButton="0" quotePrefix="0" xfId="0"/>
    <xf numFmtId="164" fontId="2" fillId="0" borderId="0" pivotButton="0" quotePrefix="0" xfId="0"/>
    <xf numFmtId="0" fontId="7" fillId="0" borderId="0" pivotButton="0" quotePrefix="0" xfId="0"/>
    <xf numFmtId="165" fontId="5" fillId="0" borderId="0" pivotButton="0" quotePrefix="0" xfId="0"/>
    <xf numFmtId="168" fontId="2" fillId="0" borderId="0" pivotButton="0" quotePrefix="0" xfId="0"/>
    <xf numFmtId="167" fontId="3" fillId="0" borderId="0" pivotButton="0" quotePrefix="0" xfId="0"/>
    <xf numFmtId="167" fontId="5" fillId="0" borderId="0" pivotButton="0" quotePrefix="0" xfId="0"/>
    <xf numFmtId="164" fontId="5" fillId="0" borderId="0" pivotButton="0" quotePrefix="0" xfId="0"/>
    <xf numFmtId="168" fontId="3" fillId="0" borderId="0" pivotButton="0" quotePrefix="0" xfId="0"/>
    <xf numFmtId="0" fontId="6" fillId="4" borderId="0" pivotButton="0" quotePrefix="0" xfId="0"/>
    <xf numFmtId="166" fontId="8" fillId="5" borderId="0" pivotButton="0" quotePrefix="0" xfId="0"/>
    <xf numFmtId="167" fontId="2" fillId="0" borderId="1" pivotButton="0" quotePrefix="0" xfId="0"/>
    <xf numFmtId="164" fontId="4" fillId="0" borderId="0" pivotButton="0" quotePrefix="0" xfId="0"/>
    <xf numFmtId="166" fontId="3" fillId="0" borderId="0" pivotButton="0" quotePrefix="0" xfId="0"/>
    <xf numFmtId="0" fontId="3" fillId="0" borderId="1" pivotButton="0" quotePrefix="0" xfId="0"/>
    <xf numFmtId="164" fontId="5" fillId="0" borderId="1" pivotButton="0" quotePrefix="0" xfId="0"/>
    <xf numFmtId="165" fontId="4" fillId="0" borderId="1" pivotButton="0" quotePrefix="0" xfId="0"/>
    <xf numFmtId="165" fontId="5" fillId="0" borderId="1" pivotButton="0" quotePrefix="0" xfId="0"/>
    <xf numFmtId="165" fontId="5" fillId="0" borderId="1" applyAlignment="1" pivotButton="0" quotePrefix="0" xfId="0">
      <alignment vertical="top" wrapText="1"/>
    </xf>
    <xf numFmtId="164" fontId="2" fillId="0" borderId="0" applyAlignment="1" pivotButton="0" quotePrefix="0" xfId="0">
      <alignment vertical="top" wrapText="1"/>
    </xf>
    <xf numFmtId="164" fontId="3" fillId="0" borderId="0" pivotButton="0" quotePrefix="0" xfId="0"/>
    <xf numFmtId="0" fontId="10" fillId="0" borderId="0" pivotButton="0" quotePrefix="0" xfId="0"/>
    <xf numFmtId="0" fontId="11" fillId="4" borderId="1" applyAlignment="1" pivotButton="0" quotePrefix="0" xfId="0">
      <alignment vertical="top" wrapText="1"/>
    </xf>
    <xf numFmtId="3" fontId="3" fillId="0" borderId="1" applyAlignment="1" pivotButton="0" quotePrefix="0" xfId="0">
      <alignment vertical="top" wrapText="1"/>
    </xf>
    <xf numFmtId="3" fontId="10" fillId="0" borderId="1" pivotButton="0" quotePrefix="0" xfId="0"/>
    <xf numFmtId="165" fontId="10" fillId="0" borderId="1" pivotButton="0" quotePrefix="0" xfId="0"/>
    <xf numFmtId="3" fontId="3" fillId="6" borderId="1" applyAlignment="1" pivotButton="0" quotePrefix="0" xfId="0">
      <alignment vertical="top" wrapText="1"/>
    </xf>
    <xf numFmtId="3" fontId="10" fillId="6" borderId="1" pivotButton="0" quotePrefix="0" xfId="0"/>
    <xf numFmtId="165" fontId="10" fillId="6" borderId="1" pivotButton="0" quotePrefix="0" xfId="0"/>
    <xf numFmtId="0" fontId="10" fillId="0" borderId="0" applyAlignment="1" pivotButton="0" quotePrefix="0" xfId="0">
      <alignment vertical="top" wrapText="1"/>
    </xf>
    <xf numFmtId="3" fontId="4" fillId="0" borderId="0" pivotButton="0" quotePrefix="0" xfId="0"/>
    <xf numFmtId="165" fontId="10" fillId="0" borderId="0" pivotButton="0" quotePrefix="0" xfId="0"/>
    <xf numFmtId="167" fontId="10" fillId="0" borderId="0" pivotButton="0" quotePrefix="0" xfId="0"/>
    <xf numFmtId="167" fontId="3" fillId="0" borderId="1" pivotButton="0" quotePrefix="0" xfId="0"/>
    <xf numFmtId="167" fontId="10" fillId="0" borderId="1" pivotButton="0" quotePrefix="0" xfId="0"/>
    <xf numFmtId="167" fontId="3" fillId="6" borderId="1" pivotButton="0" quotePrefix="0" xfId="0"/>
    <xf numFmtId="167" fontId="10" fillId="6" borderId="1" pivotButton="0" quotePrefix="0" xfId="0"/>
    <xf numFmtId="3" fontId="10" fillId="0" borderId="0" pivotButton="0" quotePrefix="0" xfId="0"/>
    <xf numFmtId="164" fontId="3" fillId="0" borderId="1" pivotButton="0" quotePrefix="0" xfId="0"/>
    <xf numFmtId="164" fontId="10" fillId="0" borderId="1" pivotButton="0" quotePrefix="0" xfId="0"/>
    <xf numFmtId="166" fontId="4" fillId="0" borderId="0" pivotButton="0" quotePrefix="0" xfId="0"/>
    <xf numFmtId="166" fontId="2" fillId="0" borderId="0" pivotButton="0" quotePrefix="0" xfId="0"/>
    <xf numFmtId="167" fontId="4" fillId="0" borderId="0" pivotButton="0" quotePrefix="0" xfId="0"/>
    <xf numFmtId="167" fontId="2" fillId="0" borderId="0" pivotButton="0" quotePrefix="0" xfId="0"/>
    <xf numFmtId="167" fontId="4" fillId="2" borderId="0" pivotButton="0" quotePrefix="0" xfId="0"/>
    <xf numFmtId="164" fontId="2" fillId="0" borderId="0" pivotButton="0" quotePrefix="0" xfId="0"/>
    <xf numFmtId="167" fontId="3" fillId="0" borderId="0" pivotButton="0" quotePrefix="0" xfId="0"/>
    <xf numFmtId="167" fontId="5" fillId="0" borderId="0" pivotButton="0" quotePrefix="0" xfId="0"/>
    <xf numFmtId="164" fontId="5" fillId="0" borderId="0" pivotButton="0" quotePrefix="0" xfId="0"/>
    <xf numFmtId="166" fontId="8" fillId="5" borderId="0" pivotButton="0" quotePrefix="0" xfId="0"/>
    <xf numFmtId="167" fontId="2" fillId="0" borderId="1" pivotButton="0" quotePrefix="0" xfId="0"/>
    <xf numFmtId="164" fontId="4" fillId="0" borderId="0" pivotButton="0" quotePrefix="0" xfId="0"/>
    <xf numFmtId="166" fontId="3" fillId="0" borderId="0" pivotButton="0" quotePrefix="0" xfId="0"/>
    <xf numFmtId="164" fontId="5" fillId="0" borderId="1" pivotButton="0" quotePrefix="0" xfId="0"/>
  </cellXfs>
  <cellStyles count="1">
    <cellStyle name="Normal" xfId="0" builtinId="0" hidden="0"/>
  </cellStyles>
  <dxfs count="6">
    <dxf>
      <fill>
        <patternFill patternType="solid">
          <fgColor rgb="00F8CBAD"/>
        </patternFill>
      </fill>
    </dxf>
    <dxf>
      <fill>
        <patternFill patternType="solid">
          <fgColor rgb="00FFFF00"/>
        </patternFill>
      </fill>
    </dxf>
    <dxf>
      <fill>
        <patternFill patternType="solid">
          <fgColor rgb="00BDD7EE"/>
        </patternFill>
      </fill>
    </dxf>
    <dxf>
      <fill>
        <patternFill patternType="solid">
          <fgColor rgb="00C6E0B4"/>
        </patternFill>
      </fill>
    </dxf>
    <dxf>
      <fill>
        <patternFill patternType="solid">
          <fgColor rgb="00FFE699"/>
        </patternFill>
      </fill>
    </dxf>
    <dxf>
      <fill>
        <patternFill patternType="solid">
          <fgColor rgb="00E2EF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Scrap reduction falls as alerts are dismissed</a:t>
            </a:r>
          </a:p>
        </rich>
      </tx>
    </title>
    <plotArea>
      <barChart>
        <barDir val="col"/>
        <grouping val="clustered"/>
        <ser>
          <idx val="0"/>
          <order val="0"/>
          <spPr>
            <a:ln xmlns:a="http://schemas.openxmlformats.org/drawingml/2006/main">
              <a:prstDash val="solid"/>
            </a:ln>
          </spPr>
          <cat>
            <numRef>
              <f>'Simulation9'!$A$42:$A$46</f>
            </numRef>
          </cat>
          <val>
            <numRef>
              <f>'Simulation9'!$B$42:$B$46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NPV across 10,000 runs (Rp B)</a:t>
            </a:r>
          </a:p>
        </rich>
      </tx>
    </title>
    <plotArea>
      <barChart>
        <barDir val="col"/>
        <grouping val="clustered"/>
        <ser>
          <idx val="0"/>
          <order val="0"/>
          <spPr>
            <a:ln xmlns:a="http://schemas.openxmlformats.org/drawingml/2006/main">
              <a:prstDash val="solid"/>
            </a:ln>
          </spPr>
          <cat>
            <numRef>
              <f>'Simulation9'!$A$75:$A$90</f>
            </numRef>
          </cat>
          <val>
            <numRef>
              <f>'Simulation9'!$B$75:$B$90</f>
            </numRef>
          </val>
        </ser>
        <gapWidth val="1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Scrap reduction falls as alerts are dismissed</a:t>
            </a:r>
          </a:p>
        </rich>
      </tx>
    </title>
    <plotArea>
      <barChart>
        <barDir val="col"/>
        <grouping val="clustered"/>
        <ser>
          <idx val="0"/>
          <order val="0"/>
          <spPr>
            <a:ln xmlns:a="http://schemas.openxmlformats.org/drawingml/2006/main">
              <a:prstDash val="solid"/>
            </a:ln>
          </spPr>
          <cat>
            <numRef>
              <f>'Simulation8'!$A$42:$A$46</f>
            </numRef>
          </cat>
          <val>
            <numRef>
              <f>'Simulation8'!$B$42:$B$46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NPV across 10,000 runs (Rp B)</a:t>
            </a:r>
          </a:p>
        </rich>
      </tx>
    </title>
    <plotArea>
      <barChart>
        <barDir val="col"/>
        <grouping val="clustered"/>
        <ser>
          <idx val="0"/>
          <order val="0"/>
          <spPr>
            <a:ln xmlns:a="http://schemas.openxmlformats.org/drawingml/2006/main">
              <a:prstDash val="solid"/>
            </a:ln>
          </spPr>
          <cat>
            <numRef>
              <f>'Simulation8'!$A$75:$A$90</f>
            </numRef>
          </cat>
          <val>
            <numRef>
              <f>'Simulation8'!$B$75:$B$90</f>
            </numRef>
          </val>
        </ser>
        <gapWidth val="1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Scrap reduction falls as alerts are dismissed</a:t>
            </a:r>
          </a:p>
        </rich>
      </tx>
    </title>
    <plotArea>
      <barChart>
        <barDir val="col"/>
        <grouping val="clustered"/>
        <ser>
          <idx val="0"/>
          <order val="0"/>
          <spPr>
            <a:ln xmlns:a="http://schemas.openxmlformats.org/drawingml/2006/main">
              <a:prstDash val="solid"/>
            </a:ln>
          </spPr>
          <cat>
            <numRef>
              <f>'Simulation7'!$A$42:$A$46</f>
            </numRef>
          </cat>
          <val>
            <numRef>
              <f>'Simulation7'!$B$42:$B$46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NPV across 10,000 runs (Rp B)</a:t>
            </a:r>
          </a:p>
        </rich>
      </tx>
    </title>
    <plotArea>
      <barChart>
        <barDir val="col"/>
        <grouping val="clustered"/>
        <ser>
          <idx val="0"/>
          <order val="0"/>
          <spPr>
            <a:ln xmlns:a="http://schemas.openxmlformats.org/drawingml/2006/main">
              <a:prstDash val="solid"/>
            </a:ln>
          </spPr>
          <cat>
            <numRef>
              <f>'Simulation7'!$A$75:$A$90</f>
            </numRef>
          </cat>
          <val>
            <numRef>
              <f>'Simulation7'!$B$75:$B$90</f>
            </numRef>
          </val>
        </ser>
        <gapWidth val="1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7.xml><?xml version="1.0" encoding="utf-8"?>
<chartSpace xmlns="http://schemas.openxmlformats.org/drawingml/2006/chart">
  <chart>
    <title>
      <tx>
        <rich>
          <a:bodyPr xmlns:a="http://schemas.openxmlformats.org/drawingml/2006/main"/>
          <a:p xmlns:a="http://schemas.openxmlformats.org/drawingml/2006/main">
            <a:pPr>
              <a:defRPr/>
            </a:pPr>
            <a:r>
              <a:t>Scrap reduction falls as alerts are dismissed</a:t>
            </a:r>
          </a:p>
        </rich>
      </tx>
    </title>
    <plotArea>
      <barChart>
        <barDir val="col"/>
        <grouping val="clustered"/>
        <ser>
          <idx val="0"/>
          <order val="0"/>
          <spPr>
            <a:ln xmlns:a="http://schemas.openxmlformats.org/drawingml/2006/main">
              <a:prstDash val="solid"/>
            </a:ln>
          </spPr>
          <cat>
            <numRef>
              <f>'Simulation6'!$A$42:$A$46</f>
            </numRef>
          </cat>
          <val>
            <numRef>
              <f>'Simulation6'!$B$42:$B$46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plotVisOnly val="1"/>
    <dispBlanksAs val="gap"/>
  </chart>
</chartSpace>
</file>

<file path=xl/charts/chart8.xml><?xml version="1.0" encoding="utf-8"?>
<chartSpace xmlns="http://schemas.openxmlformats.org/drawingml/2006/chart">
  <chart>
    <title>
      <tx>
        <rich>
          <a:bodyPr xmlns:a="http://schemas.openxmlformats.org/drawingml/2006/main"/>
          <a:p xmlns:a="http://schemas.openxmlformats.org/drawingml/2006/main">
            <a:pPr>
              <a:defRPr/>
            </a:pPr>
            <a:r>
              <a:t>NPV across 10,000 runs (Rp B)</a:t>
            </a:r>
          </a:p>
        </rich>
      </tx>
    </title>
    <plotArea>
      <barChart>
        <barDir val="col"/>
        <grouping val="clustered"/>
        <ser>
          <idx val="0"/>
          <order val="0"/>
          <spPr>
            <a:ln xmlns:a="http://schemas.openxmlformats.org/drawingml/2006/main">
              <a:prstDash val="solid"/>
            </a:ln>
          </spPr>
          <cat>
            <numRef>
              <f>'Simulation6'!$A$75:$A$90</f>
            </numRef>
          </cat>
          <val>
            <numRef>
              <f>'Simulation6'!$B$75:$B$90</f>
            </numRef>
          </val>
        </ser>
        <gapWidth val="1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9.xml><?xml version="1.0" encoding="utf-8"?>
<chartSpace xmlns="http://schemas.openxmlformats.org/drawingml/2006/chart">
  <chart>
    <title>
      <tx>
        <rich>
          <a:bodyPr xmlns:a="http://schemas.openxmlformats.org/drawingml/2006/main"/>
          <a:p xmlns:a="http://schemas.openxmlformats.org/drawingml/2006/main">
            <a:pPr>
              <a:defRPr/>
            </a:pPr>
            <a:r>
              <a:t>Scrap reduction falls as alerts are dismissed</a:t>
            </a:r>
          </a:p>
        </rich>
      </tx>
    </title>
    <plotArea>
      <barChart>
        <barDir val="col"/>
        <grouping val="clustered"/>
        <ser>
          <idx val="0"/>
          <order val="0"/>
          <spPr>
            <a:ln xmlns:a="http://schemas.openxmlformats.org/drawingml/2006/main">
              <a:prstDash val="solid"/>
            </a:ln>
          </spPr>
          <cat>
            <numRef>
              <f>'Simulation5'!$A$42:$A$46</f>
            </numRef>
          </cat>
          <val>
            <numRef>
              <f>'Simulation5'!$B$42:$B$46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plotVisOnly val="1"/>
    <dispBlanksAs val="gap"/>
  </chart>
</chartSpace>
</file>

<file path=xl/charts/chart10.xml><?xml version="1.0" encoding="utf-8"?>
<chartSpace xmlns="http://schemas.openxmlformats.org/drawingml/2006/chart">
  <chart>
    <title>
      <tx>
        <rich>
          <a:bodyPr xmlns:a="http://schemas.openxmlformats.org/drawingml/2006/main"/>
          <a:p xmlns:a="http://schemas.openxmlformats.org/drawingml/2006/main">
            <a:pPr>
              <a:defRPr/>
            </a:pPr>
            <a:r>
              <a:t>NPV across 10,000 runs (Rp B)</a:t>
            </a:r>
          </a:p>
        </rich>
      </tx>
    </title>
    <plotArea>
      <barChart>
        <barDir val="col"/>
        <grouping val="clustered"/>
        <ser>
          <idx val="0"/>
          <order val="0"/>
          <spPr>
            <a:ln xmlns:a="http://schemas.openxmlformats.org/drawingml/2006/main">
              <a:prstDash val="solid"/>
            </a:ln>
          </spPr>
          <cat>
            <numRef>
              <f>'Simulation5'!$A$75:$A$90</f>
            </numRef>
          </cat>
          <val>
            <numRef>
              <f>'Simulation5'!$B$75:$B$90</f>
            </numRef>
          </val>
        </ser>
        <gapWidth val="1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11.xml><?xml version="1.0" encoding="utf-8"?>
<chartSpace xmlns="http://schemas.openxmlformats.org/drawingml/2006/chart">
  <chart>
    <title>
      <tx>
        <rich>
          <a:bodyPr xmlns:a="http://schemas.openxmlformats.org/drawingml/2006/main"/>
          <a:p xmlns:a="http://schemas.openxmlformats.org/drawingml/2006/main">
            <a:pPr>
              <a:defRPr/>
            </a:pPr>
            <a:r>
              <a:t>Scrap reduction falls as alerts are dismissed</a:t>
            </a:r>
          </a:p>
        </rich>
      </tx>
    </title>
    <plotArea>
      <barChart>
        <barDir val="col"/>
        <grouping val="clustered"/>
        <ser>
          <idx val="0"/>
          <order val="0"/>
          <spPr>
            <a:ln xmlns:a="http://schemas.openxmlformats.org/drawingml/2006/main">
              <a:prstDash val="solid"/>
            </a:ln>
          </spPr>
          <cat>
            <numRef>
              <f>'Simulation4'!$A$42:$A$46</f>
            </numRef>
          </cat>
          <val>
            <numRef>
              <f>'Simulation4'!$B$42:$B$46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plotVisOnly val="1"/>
    <dispBlanksAs val="gap"/>
  </chart>
</chartSpace>
</file>

<file path=xl/charts/chart12.xml><?xml version="1.0" encoding="utf-8"?>
<chartSpace xmlns="http://schemas.openxmlformats.org/drawingml/2006/chart">
  <chart>
    <title>
      <tx>
        <rich>
          <a:bodyPr xmlns:a="http://schemas.openxmlformats.org/drawingml/2006/main"/>
          <a:p xmlns:a="http://schemas.openxmlformats.org/drawingml/2006/main">
            <a:pPr>
              <a:defRPr/>
            </a:pPr>
            <a:r>
              <a:t>NPV across 10,000 runs (Rp B)</a:t>
            </a:r>
          </a:p>
        </rich>
      </tx>
    </title>
    <plotArea>
      <barChart>
        <barDir val="col"/>
        <grouping val="clustered"/>
        <ser>
          <idx val="0"/>
          <order val="0"/>
          <spPr>
            <a:ln xmlns:a="http://schemas.openxmlformats.org/drawingml/2006/main">
              <a:prstDash val="solid"/>
            </a:ln>
          </spPr>
          <cat>
            <numRef>
              <f>'Simulation4'!$A$75:$A$90</f>
            </numRef>
          </cat>
          <val>
            <numRef>
              <f>'Simulation4'!$B$75:$B$90</f>
            </numRef>
          </val>
        </ser>
        <gapWidth val="1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13.xml><?xml version="1.0" encoding="utf-8"?>
<chartSpace xmlns="http://schemas.openxmlformats.org/drawingml/2006/chart">
  <chart>
    <title>
      <tx>
        <rich>
          <a:bodyPr xmlns:a="http://schemas.openxmlformats.org/drawingml/2006/main"/>
          <a:p xmlns:a="http://schemas.openxmlformats.org/drawingml/2006/main">
            <a:pPr>
              <a:defRPr/>
            </a:pPr>
            <a:r>
              <a:t>Scrap reduction falls as alerts are dismissed</a:t>
            </a:r>
          </a:p>
        </rich>
      </tx>
    </title>
    <plotArea>
      <barChart>
        <barDir val="col"/>
        <grouping val="clustered"/>
        <ser>
          <idx val="0"/>
          <order val="0"/>
          <spPr>
            <a:ln xmlns:a="http://schemas.openxmlformats.org/drawingml/2006/main">
              <a:prstDash val="solid"/>
            </a:ln>
          </spPr>
          <cat>
            <numRef>
              <f>'Simulation3'!$A$42:$A$46</f>
            </numRef>
          </cat>
          <val>
            <numRef>
              <f>'Simulation3'!$B$42:$B$46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plotVisOnly val="1"/>
    <dispBlanksAs val="gap"/>
  </chart>
</chartSpace>
</file>

<file path=xl/charts/chart14.xml><?xml version="1.0" encoding="utf-8"?>
<chartSpace xmlns="http://schemas.openxmlformats.org/drawingml/2006/chart">
  <chart>
    <title>
      <tx>
        <rich>
          <a:bodyPr xmlns:a="http://schemas.openxmlformats.org/drawingml/2006/main"/>
          <a:p xmlns:a="http://schemas.openxmlformats.org/drawingml/2006/main">
            <a:pPr>
              <a:defRPr/>
            </a:pPr>
            <a:r>
              <a:t>NPV across 10,000 runs (Rp B)</a:t>
            </a:r>
          </a:p>
        </rich>
      </tx>
    </title>
    <plotArea>
      <barChart>
        <barDir val="col"/>
        <grouping val="clustered"/>
        <ser>
          <idx val="0"/>
          <order val="0"/>
          <spPr>
            <a:ln xmlns:a="http://schemas.openxmlformats.org/drawingml/2006/main">
              <a:prstDash val="solid"/>
            </a:ln>
          </spPr>
          <cat>
            <numRef>
              <f>'Simulation3'!$A$75:$A$90</f>
            </numRef>
          </cat>
          <val>
            <numRef>
              <f>'Simulation3'!$B$75:$B$90</f>
            </numRef>
          </val>
        </ser>
        <gapWidth val="1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15.xml><?xml version="1.0" encoding="utf-8"?>
<chartSpace xmlns="http://schemas.openxmlformats.org/drawingml/2006/chart">
  <chart>
    <title>
      <tx>
        <rich>
          <a:bodyPr xmlns:a="http://schemas.openxmlformats.org/drawingml/2006/main"/>
          <a:p xmlns:a="http://schemas.openxmlformats.org/drawingml/2006/main">
            <a:pPr>
              <a:defRPr/>
            </a:pPr>
            <a:r>
              <a:t>Scrap reduction falls as alerts are dismissed</a:t>
            </a:r>
          </a:p>
        </rich>
      </tx>
    </title>
    <plotArea>
      <barChart>
        <barDir val="col"/>
        <grouping val="clustered"/>
        <ser>
          <idx val="0"/>
          <order val="0"/>
          <spPr>
            <a:ln xmlns:a="http://schemas.openxmlformats.org/drawingml/2006/main">
              <a:prstDash val="solid"/>
            </a:ln>
          </spPr>
          <cat>
            <numRef>
              <f>'Simulation2'!$A$42:$A$46</f>
            </numRef>
          </cat>
          <val>
            <numRef>
              <f>'Simulation2'!$B$42:$B$46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plotVisOnly val="1"/>
    <dispBlanksAs val="gap"/>
  </chart>
</chartSpace>
</file>

<file path=xl/charts/chart16.xml><?xml version="1.0" encoding="utf-8"?>
<chartSpace xmlns="http://schemas.openxmlformats.org/drawingml/2006/chart">
  <chart>
    <title>
      <tx>
        <rich>
          <a:bodyPr xmlns:a="http://schemas.openxmlformats.org/drawingml/2006/main"/>
          <a:p xmlns:a="http://schemas.openxmlformats.org/drawingml/2006/main">
            <a:pPr>
              <a:defRPr/>
            </a:pPr>
            <a:r>
              <a:t>NPV across 10,000 runs (Rp B)</a:t>
            </a:r>
          </a:p>
        </rich>
      </tx>
    </title>
    <plotArea>
      <barChart>
        <barDir val="col"/>
        <grouping val="clustered"/>
        <ser>
          <idx val="0"/>
          <order val="0"/>
          <spPr>
            <a:ln xmlns:a="http://schemas.openxmlformats.org/drawingml/2006/main">
              <a:prstDash val="solid"/>
            </a:ln>
          </spPr>
          <cat>
            <numRef>
              <f>'Simulation2'!$A$75:$A$90</f>
            </numRef>
          </cat>
          <val>
            <numRef>
              <f>'Simulation2'!$B$75:$B$90</f>
            </numRef>
          </val>
        </ser>
        <gapWidth val="1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17.xml><?xml version="1.0" encoding="utf-8"?>
<chartSpace xmlns="http://schemas.openxmlformats.org/drawingml/2006/chart">
  <chart>
    <title>
      <tx>
        <rich>
          <a:bodyPr xmlns:a="http://schemas.openxmlformats.org/drawingml/2006/main"/>
          <a:p xmlns:a="http://schemas.openxmlformats.org/drawingml/2006/main">
            <a:pPr>
              <a:defRPr/>
            </a:pPr>
            <a:r>
              <a:t>Scrap reduction falls as alerts are dismissed</a:t>
            </a:r>
          </a:p>
        </rich>
      </tx>
    </title>
    <plotArea>
      <barChart>
        <barDir val="col"/>
        <grouping val="clustered"/>
        <ser>
          <idx val="0"/>
          <order val="0"/>
          <spPr>
            <a:ln xmlns:a="http://schemas.openxmlformats.org/drawingml/2006/main">
              <a:prstDash val="solid"/>
            </a:ln>
          </spPr>
          <cat>
            <numRef>
              <f>'Simulation1'!$A$42:$A$46</f>
            </numRef>
          </cat>
          <val>
            <numRef>
              <f>'Simulation1'!$B$42:$B$46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plotVisOnly val="1"/>
    <dispBlanksAs val="gap"/>
  </chart>
</chartSpace>
</file>

<file path=xl/charts/chart18.xml><?xml version="1.0" encoding="utf-8"?>
<chartSpace xmlns="http://schemas.openxmlformats.org/drawingml/2006/chart">
  <chart>
    <title>
      <tx>
        <rich>
          <a:bodyPr xmlns:a="http://schemas.openxmlformats.org/drawingml/2006/main"/>
          <a:p xmlns:a="http://schemas.openxmlformats.org/drawingml/2006/main">
            <a:pPr>
              <a:defRPr/>
            </a:pPr>
            <a:r>
              <a:t>NPV across 10,000 runs (Rp B)</a:t>
            </a:r>
          </a:p>
        </rich>
      </tx>
    </title>
    <plotArea>
      <barChart>
        <barDir val="col"/>
        <grouping val="clustered"/>
        <ser>
          <idx val="0"/>
          <order val="0"/>
          <spPr>
            <a:ln xmlns:a="http://schemas.openxmlformats.org/drawingml/2006/main">
              <a:prstDash val="solid"/>
            </a:ln>
          </spPr>
          <cat>
            <numRef>
              <f>'Simulation1'!$A$75:$A$90</f>
            </numRef>
          </cat>
          <val>
            <numRef>
              <f>'Simulation1'!$B$75:$B$90</f>
            </numRef>
          </val>
        </ser>
        <gapWidth val="1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19.xml><?xml version="1.0" encoding="utf-8"?>
<chartSpace xmlns="http://schemas.openxmlformats.org/drawingml/2006/chart">
  <chart>
    <title>
      <tx>
        <rich>
          <a:bodyPr xmlns:a="http://schemas.openxmlformats.org/drawingml/2006/main"/>
          <a:p xmlns:a="http://schemas.openxmlformats.org/drawingml/2006/main">
            <a:pPr>
              <a:defRPr/>
            </a:pPr>
            <a:r>
              <a:t>Scrap reduction falls as alerts are dismissed</a:t>
            </a:r>
          </a:p>
        </rich>
      </tx>
    </title>
    <plotArea>
      <barChart>
        <barDir val="col"/>
        <grouping val="clustered"/>
        <ser>
          <idx val="0"/>
          <order val="0"/>
          <spPr>
            <a:ln xmlns:a="http://schemas.openxmlformats.org/drawingml/2006/main">
              <a:prstDash val="solid"/>
            </a:ln>
          </spPr>
          <cat>
            <numRef>
              <f>'Simulation'!$A$42:$A$46</f>
            </numRef>
          </cat>
          <val>
            <numRef>
              <f>'Simulation'!$B$42:$B$46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plotVisOnly val="1"/>
    <dispBlanksAs val="gap"/>
  </chart>
</chartSpace>
</file>

<file path=xl/charts/chart20.xml><?xml version="1.0" encoding="utf-8"?>
<chartSpace xmlns="http://schemas.openxmlformats.org/drawingml/2006/chart">
  <chart>
    <title>
      <tx>
        <rich>
          <a:bodyPr xmlns:a="http://schemas.openxmlformats.org/drawingml/2006/main"/>
          <a:p xmlns:a="http://schemas.openxmlformats.org/drawingml/2006/main">
            <a:pPr>
              <a:defRPr/>
            </a:pPr>
            <a:r>
              <a:t>NPV across 10,000 runs (Rp B)</a:t>
            </a:r>
          </a:p>
        </rich>
      </tx>
    </title>
    <plotArea>
      <barChart>
        <barDir val="col"/>
        <grouping val="clustered"/>
        <ser>
          <idx val="0"/>
          <order val="0"/>
          <spPr>
            <a:ln xmlns:a="http://schemas.openxmlformats.org/drawingml/2006/main">
              <a:prstDash val="solid"/>
            </a:ln>
          </spPr>
          <cat>
            <numRef>
              <f>'Simulation'!$A$75:$A$90</f>
            </numRef>
          </cat>
          <val>
            <numRef>
              <f>'Simulation'!$B$75:$B$90</f>
            </numRef>
          </val>
        </ser>
        <gapWidth val="1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21.xml><?xml version="1.0" encoding="utf-8"?>
<chartSpace xmlns="http://schemas.openxmlformats.org/drawingml/2006/chart">
  <chart>
    <title>
      <tx>
        <rich>
          <a:bodyPr xmlns:a="http://schemas.openxmlformats.org/drawingml/2006/main"/>
          <a:p xmlns:a="http://schemas.openxmlformats.org/drawingml/2006/main">
            <a:pPr>
              <a:defRPr/>
            </a:pPr>
            <a:r>
              <a:t>NPV by scenario (Rp B)</a:t>
            </a:r>
          </a:p>
        </rich>
      </tx>
    </title>
    <plotArea>
      <barChart>
        <barDir val="col"/>
        <grouping val="clustered"/>
        <ser>
          <idx val="0"/>
          <order val="0"/>
          <spPr>
            <a:ln xmlns:a="http://schemas.openxmlformats.org/drawingml/2006/main">
              <a:prstDash val="solid"/>
            </a:ln>
          </spPr>
          <cat>
            <numRef>
              <f>'Dashboard'!$B$3:$D$3</f>
            </numRef>
          </cat>
          <val>
            <numRef>
              <f>'Dashboard'!$B$4:$D$4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22.xml><?xml version="1.0" encoding="utf-8"?>
<chartSpace xmlns="http://schemas.openxmlformats.org/drawingml/2006/chart">
  <chart>
    <title>
      <tx>
        <rich>
          <a:bodyPr xmlns:a="http://schemas.openxmlformats.org/drawingml/2006/main"/>
          <a:p xmlns:a="http://schemas.openxmlformats.org/drawingml/2006/main">
            <a:pPr>
              <a:defRPr/>
            </a:pPr>
            <a:r>
              <a:t>Base case savings by lever (Rp B)</a:t>
            </a:r>
          </a:p>
        </rich>
      </tx>
    </title>
    <plotArea>
      <barChart>
        <barDir val="col"/>
        <grouping val="stacked"/>
        <ser>
          <idx val="0"/>
          <order val="0"/>
          <tx>
            <strRef>
              <f>'Dashboard'!A17</f>
            </strRef>
          </tx>
          <spPr>
            <a:ln xmlns:a="http://schemas.openxmlformats.org/drawingml/2006/main">
              <a:prstDash val="solid"/>
            </a:ln>
          </spPr>
          <cat>
            <numRef>
              <f>'Dashboard'!$B$16:$F$16</f>
            </numRef>
          </cat>
          <val>
            <numRef>
              <f>'Dashboard'!$B$17:$F$17</f>
            </numRef>
          </val>
        </ser>
        <ser>
          <idx val="1"/>
          <order val="1"/>
          <tx>
            <strRef>
              <f>'Dashboard'!A18</f>
            </strRef>
          </tx>
          <spPr>
            <a:ln xmlns:a="http://schemas.openxmlformats.org/drawingml/2006/main">
              <a:prstDash val="solid"/>
            </a:ln>
          </spPr>
          <cat>
            <numRef>
              <f>'Dashboard'!$B$16:$F$16</f>
            </numRef>
          </cat>
          <val>
            <numRef>
              <f>'Dashboard'!$B$18:$F$18</f>
            </numRef>
          </val>
        </ser>
        <ser>
          <idx val="2"/>
          <order val="2"/>
          <tx>
            <strRef>
              <f>'Dashboard'!A19</f>
            </strRef>
          </tx>
          <spPr>
            <a:ln xmlns:a="http://schemas.openxmlformats.org/drawingml/2006/main">
              <a:prstDash val="solid"/>
            </a:ln>
          </spPr>
          <cat>
            <numRef>
              <f>'Dashboard'!$B$16:$F$16</f>
            </numRef>
          </cat>
          <val>
            <numRef>
              <f>'Dashboard'!$B$19:$F$19</f>
            </numRef>
          </val>
        </ser>
        <ser>
          <idx val="3"/>
          <order val="3"/>
          <tx>
            <strRef>
              <f>'Dashboard'!A20</f>
            </strRef>
          </tx>
          <spPr>
            <a:ln xmlns:a="http://schemas.openxmlformats.org/drawingml/2006/main">
              <a:prstDash val="solid"/>
            </a:ln>
          </spPr>
          <cat>
            <numRef>
              <f>'Dashboard'!$B$16:$F$16</f>
            </numRef>
          </cat>
          <val>
            <numRef>
              <f>'Dashboard'!$B$20:$F$20</f>
            </numRef>
          </val>
        </ser>
        <ser>
          <idx val="4"/>
          <order val="4"/>
          <tx>
            <strRef>
              <f>'Dashboard'!A21</f>
            </strRef>
          </tx>
          <spPr>
            <a:ln xmlns:a="http://schemas.openxmlformats.org/drawingml/2006/main">
              <a:prstDash val="solid"/>
            </a:ln>
          </spPr>
          <cat>
            <numRef>
              <f>'Dashboard'!$B$16:$F$16</f>
            </numRef>
          </cat>
          <val>
            <numRef>
              <f>'Dashboard'!$B$21:$F$21</f>
            </numRef>
          </val>
        </ser>
        <gapWidth val="150"/>
        <overlap val="10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s>
</file>

<file path=xl/drawings/_rels/drawing3.xml.rels><Relationships xmlns="http://schemas.openxmlformats.org/package/2006/relationships"><Relationship Type="http://schemas.openxmlformats.org/officeDocument/2006/relationships/chart" Target="/xl/charts/chart5.xml" Id="rId1"/><Relationship Type="http://schemas.openxmlformats.org/officeDocument/2006/relationships/chart" Target="/xl/charts/chart6.xml" Id="rId2"/></Relationships>
</file>

<file path=xl/drawings/_rels/drawing4.xml.rels><Relationships xmlns="http://schemas.openxmlformats.org/package/2006/relationships"><Relationship Type="http://schemas.openxmlformats.org/officeDocument/2006/relationships/chart" Target="/xl/charts/chart7.xml" Id="rId1"/><Relationship Type="http://schemas.openxmlformats.org/officeDocument/2006/relationships/chart" Target="/xl/charts/chart8.xml" Id="rId2"/></Relationships>
</file>

<file path=xl/drawings/_rels/drawing5.xml.rels><Relationships xmlns="http://schemas.openxmlformats.org/package/2006/relationships"><Relationship Type="http://schemas.openxmlformats.org/officeDocument/2006/relationships/chart" Target="/xl/charts/chart9.xml" Id="rId1"/><Relationship Type="http://schemas.openxmlformats.org/officeDocument/2006/relationships/chart" Target="/xl/charts/chart10.xml" Id="rId2"/></Relationships>
</file>

<file path=xl/drawings/_rels/drawing6.xml.rels><Relationships xmlns="http://schemas.openxmlformats.org/package/2006/relationships"><Relationship Type="http://schemas.openxmlformats.org/officeDocument/2006/relationships/chart" Target="/xl/charts/chart11.xml" Id="rId1"/><Relationship Type="http://schemas.openxmlformats.org/officeDocument/2006/relationships/chart" Target="/xl/charts/chart12.xml" Id="rId2"/></Relationships>
</file>

<file path=xl/drawings/_rels/drawing7.xml.rels><Relationships xmlns="http://schemas.openxmlformats.org/package/2006/relationships"><Relationship Type="http://schemas.openxmlformats.org/officeDocument/2006/relationships/chart" Target="/xl/charts/chart13.xml" Id="rId1"/><Relationship Type="http://schemas.openxmlformats.org/officeDocument/2006/relationships/chart" Target="/xl/charts/chart14.xml" Id="rId2"/></Relationships>
</file>

<file path=xl/drawings/_rels/drawing8.xml.rels><Relationships xmlns="http://schemas.openxmlformats.org/package/2006/relationships"><Relationship Type="http://schemas.openxmlformats.org/officeDocument/2006/relationships/chart" Target="/xl/charts/chart15.xml" Id="rId1"/><Relationship Type="http://schemas.openxmlformats.org/officeDocument/2006/relationships/chart" Target="/xl/charts/chart16.xml" Id="rId2"/></Relationships>
</file>

<file path=xl/drawings/_rels/drawing9.xml.rels><Relationships xmlns="http://schemas.openxmlformats.org/package/2006/relationships"><Relationship Type="http://schemas.openxmlformats.org/officeDocument/2006/relationships/chart" Target="/xl/charts/chart17.xml" Id="rId1"/><Relationship Type="http://schemas.openxmlformats.org/officeDocument/2006/relationships/chart" Target="/xl/charts/chart18.xml" Id="rId2"/></Relationships>
</file>

<file path=xl/drawings/_rels/drawing10.xml.rels><Relationships xmlns="http://schemas.openxmlformats.org/package/2006/relationships"><Relationship Type="http://schemas.openxmlformats.org/officeDocument/2006/relationships/chart" Target="/xl/charts/chart19.xml" Id="rId1"/><Relationship Type="http://schemas.openxmlformats.org/officeDocument/2006/relationships/chart" Target="/xl/charts/chart20.xml" Id="rId2"/></Relationships>
</file>

<file path=xl/drawings/_rels/drawing11.xml.rels><Relationships xmlns="http://schemas.openxmlformats.org/package/2006/relationships"><Relationship Type="http://schemas.openxmlformats.org/officeDocument/2006/relationships/chart" Target="/xl/charts/chart21.xml" Id="rId1"/><Relationship Type="http://schemas.openxmlformats.org/officeDocument/2006/relationships/chart" Target="/xl/charts/chart22.xml" Id="rId2"/></Relationships>
</file>

<file path=xl/drawings/drawing1.xml><?xml version="1.0" encoding="utf-8"?>
<wsDr xmlns="http://schemas.openxmlformats.org/drawingml/2006/spreadsheetDrawing">
  <oneCellAnchor>
    <from>
      <col>3</col>
      <colOff>0</colOff>
      <row>40</row>
      <rowOff>0</rowOff>
    </from>
    <ext cx="4320000" cy="21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4</col>
      <colOff>0</colOff>
      <row>73</row>
      <rowOff>0</rowOff>
    </from>
    <ext cx="576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2.xml><?xml version="1.0" encoding="utf-8"?>
<wsDr xmlns="http://schemas.openxmlformats.org/drawingml/2006/spreadsheetDrawing">
  <oneCellAnchor>
    <from>
      <col>3</col>
      <colOff>0</colOff>
      <row>40</row>
      <rowOff>0</rowOff>
    </from>
    <ext cx="4320000" cy="21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4</col>
      <colOff>0</colOff>
      <row>73</row>
      <rowOff>0</rowOff>
    </from>
    <ext cx="576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3.xml><?xml version="1.0" encoding="utf-8"?>
<wsDr xmlns="http://schemas.openxmlformats.org/drawingml/2006/spreadsheetDrawing">
  <oneCellAnchor>
    <from>
      <col>3</col>
      <colOff>0</colOff>
      <row>40</row>
      <rowOff>0</rowOff>
    </from>
    <ext cx="4320000" cy="21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4</col>
      <colOff>0</colOff>
      <row>73</row>
      <rowOff>0</rowOff>
    </from>
    <ext cx="576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4.xml><?xml version="1.0" encoding="utf-8"?>
<wsDr xmlns="http://schemas.openxmlformats.org/drawingml/2006/spreadsheetDrawing">
  <oneCellAnchor>
    <from>
      <col>3</col>
      <colOff>0</colOff>
      <row>40</row>
      <rowOff>0</rowOff>
    </from>
    <ext cx="4320000" cy="21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4</col>
      <colOff>0</colOff>
      <row>73</row>
      <rowOff>0</rowOff>
    </from>
    <ext cx="576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5.xml><?xml version="1.0" encoding="utf-8"?>
<wsDr xmlns="http://schemas.openxmlformats.org/drawingml/2006/spreadsheetDrawing">
  <oneCellAnchor>
    <from>
      <col>3</col>
      <colOff>0</colOff>
      <row>40</row>
      <rowOff>0</rowOff>
    </from>
    <ext cx="4320000" cy="21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4</col>
      <colOff>0</colOff>
      <row>73</row>
      <rowOff>0</rowOff>
    </from>
    <ext cx="576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6.xml><?xml version="1.0" encoding="utf-8"?>
<wsDr xmlns="http://schemas.openxmlformats.org/drawingml/2006/spreadsheetDrawing">
  <oneCellAnchor>
    <from>
      <col>3</col>
      <colOff>0</colOff>
      <row>40</row>
      <rowOff>0</rowOff>
    </from>
    <ext cx="4320000" cy="21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4</col>
      <colOff>0</colOff>
      <row>73</row>
      <rowOff>0</rowOff>
    </from>
    <ext cx="576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7.xml><?xml version="1.0" encoding="utf-8"?>
<wsDr xmlns="http://schemas.openxmlformats.org/drawingml/2006/spreadsheetDrawing">
  <oneCellAnchor>
    <from>
      <col>3</col>
      <colOff>0</colOff>
      <row>40</row>
      <rowOff>0</rowOff>
    </from>
    <ext cx="4320000" cy="21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4</col>
      <colOff>0</colOff>
      <row>73</row>
      <rowOff>0</rowOff>
    </from>
    <ext cx="576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8.xml><?xml version="1.0" encoding="utf-8"?>
<wsDr xmlns="http://schemas.openxmlformats.org/drawingml/2006/spreadsheetDrawing">
  <oneCellAnchor>
    <from>
      <col>3</col>
      <colOff>0</colOff>
      <row>40</row>
      <rowOff>0</rowOff>
    </from>
    <ext cx="4320000" cy="21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4</col>
      <colOff>0</colOff>
      <row>73</row>
      <rowOff>0</rowOff>
    </from>
    <ext cx="576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9.xml><?xml version="1.0" encoding="utf-8"?>
<wsDr xmlns="http://schemas.openxmlformats.org/drawingml/2006/spreadsheetDrawing">
  <oneCellAnchor>
    <from>
      <col>3</col>
      <colOff>0</colOff>
      <row>40</row>
      <rowOff>0</rowOff>
    </from>
    <ext cx="4320000" cy="21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4</col>
      <colOff>0</colOff>
      <row>73</row>
      <rowOff>0</rowOff>
    </from>
    <ext cx="576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10.xml><?xml version="1.0" encoding="utf-8"?>
<wsDr xmlns="http://schemas.openxmlformats.org/drawingml/2006/spreadsheetDrawing">
  <oneCellAnchor>
    <from>
      <col>3</col>
      <colOff>0</colOff>
      <row>40</row>
      <rowOff>0</rowOff>
    </from>
    <ext cx="4320000" cy="21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4</col>
      <colOff>0</colOff>
      <row>73</row>
      <rowOff>0</rowOff>
    </from>
    <ext cx="576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11.xml><?xml version="1.0" encoding="utf-8"?>
<wsDr xmlns="http://schemas.openxmlformats.org/drawingml/2006/spreadsheetDrawing">
  <oneCellAnchor>
    <from>
      <col>6</col>
      <colOff>0</colOff>
      <row>2</row>
      <rowOff>0</rowOff>
    </from>
    <ext cx="468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17</row>
      <rowOff>0</rowOff>
    </from>
    <ext cx="540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_rels/sheet6.xml.rels><Relationships xmlns="http://schemas.openxmlformats.org/package/2006/relationships"><Relationship Type="http://schemas.openxmlformats.org/officeDocument/2006/relationships/drawing" Target="/xl/drawings/drawing2.xml" Id="rId1"/></Relationships>
</file>

<file path=xl/worksheets/_rels/sheet7.xml.rels><Relationships xmlns="http://schemas.openxmlformats.org/package/2006/relationships"><Relationship Type="http://schemas.openxmlformats.org/officeDocument/2006/relationships/drawing" Target="/xl/drawings/drawing3.xml" Id="rId1"/></Relationships>
</file>

<file path=xl/worksheets/_rels/sheet8.xml.rels><Relationships xmlns="http://schemas.openxmlformats.org/package/2006/relationships"><Relationship Type="http://schemas.openxmlformats.org/officeDocument/2006/relationships/drawing" Target="/xl/drawings/drawing4.xml" Id="rId1"/></Relationships>
</file>

<file path=xl/worksheets/_rels/sheet9.xml.rels><Relationships xmlns="http://schemas.openxmlformats.org/package/2006/relationships"><Relationship Type="http://schemas.openxmlformats.org/officeDocument/2006/relationships/drawing" Target="/xl/drawings/drawing5.xml" Id="rId1"/></Relationships>
</file>

<file path=xl/worksheets/_rels/sheet10.xml.rels><Relationships xmlns="http://schemas.openxmlformats.org/package/2006/relationships"><Relationship Type="http://schemas.openxmlformats.org/officeDocument/2006/relationships/drawing" Target="/xl/drawings/drawing6.xml" Id="rId1"/></Relationships>
</file>

<file path=xl/worksheets/_rels/sheet11.xml.rels><Relationships xmlns="http://schemas.openxmlformats.org/package/2006/relationships"><Relationship Type="http://schemas.openxmlformats.org/officeDocument/2006/relationships/drawing" Target="/xl/drawings/drawing7.xml" Id="rId1"/></Relationships>
</file>

<file path=xl/worksheets/_rels/sheet12.xml.rels><Relationships xmlns="http://schemas.openxmlformats.org/package/2006/relationships"><Relationship Type="http://schemas.openxmlformats.org/officeDocument/2006/relationships/drawing" Target="/xl/drawings/drawing8.xml" Id="rId1"/></Relationships>
</file>

<file path=xl/worksheets/_rels/sheet13.xml.rels><Relationships xmlns="http://schemas.openxmlformats.org/package/2006/relationships"><Relationship Type="http://schemas.openxmlformats.org/officeDocument/2006/relationships/drawing" Target="/xl/drawings/drawing9.xml" Id="rId1"/></Relationships>
</file>

<file path=xl/worksheets/_rels/sheet14.xml.rels><Relationships xmlns="http://schemas.openxmlformats.org/package/2006/relationships"><Relationship Type="http://schemas.openxmlformats.org/officeDocument/2006/relationships/drawing" Target="/xl/drawings/drawing10.xml" Id="rId1"/></Relationships>
</file>

<file path=xl/worksheets/_rels/sheet18.xml.rels><Relationships xmlns="http://schemas.openxmlformats.org/package/2006/relationships"><Relationship Type="http://schemas.openxmlformats.org/officeDocument/2006/relationships/drawing" Target="/xl/drawings/drawing11.xml" Id="rId1"/></Relationships>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18" customWidth="1" min="1" max="1"/>
    <col width="100" customWidth="1" min="2" max="2"/>
  </cols>
  <sheetData>
    <row r="1">
      <c r="A1" s="1" t="inlineStr">
        <is>
          <t>TMMIN Next-Level Kaizen: Case Model &amp; Answer Kit</t>
        </is>
      </c>
    </row>
    <row r="2">
      <c r="A2" s="2" t="inlineStr">
        <is>
          <t>Working file for the team. Every number traces to a case exhibit or a labeled assumption.</t>
        </is>
      </c>
    </row>
    <row r="4">
      <c r="A4" s="3" t="inlineStr">
        <is>
          <t>Colour legend</t>
        </is>
      </c>
    </row>
    <row r="5">
      <c r="A5" s="4" t="inlineStr">
        <is>
          <t>Blue text</t>
        </is>
      </c>
      <c r="B5" s="2" t="inlineStr">
        <is>
          <t>Hardcoded input (from the case or a team assumption)</t>
        </is>
      </c>
    </row>
    <row r="6">
      <c r="A6" s="2" t="inlineStr">
        <is>
          <t>Black text</t>
        </is>
      </c>
      <c r="B6" s="2" t="inlineStr">
        <is>
          <t>Formula, do not overwrite</t>
        </is>
      </c>
    </row>
    <row r="7">
      <c r="A7" s="5" t="inlineStr">
        <is>
          <t>Green text</t>
        </is>
      </c>
      <c r="B7" s="2" t="inlineStr">
        <is>
          <t>Link from another tab</t>
        </is>
      </c>
    </row>
    <row r="8">
      <c r="A8" s="6" t="inlineStr">
        <is>
          <t>Yellow fill</t>
        </is>
      </c>
      <c r="B8" s="2" t="inlineStr">
        <is>
          <t>Key assumption the team must justify or change</t>
        </is>
      </c>
    </row>
    <row r="9">
      <c r="A9" s="7" t="inlineStr">
        <is>
          <t>Red fill</t>
        </is>
      </c>
      <c r="B9" s="2" t="inlineStr">
        <is>
          <t>VERIFY against the original casebook PDF (text came through garbled)</t>
        </is>
      </c>
    </row>
    <row r="11">
      <c r="A11" s="3" t="inlineStr">
        <is>
          <t>Tab map</t>
        </is>
      </c>
    </row>
    <row r="12">
      <c r="A12" s="3" t="inlineStr">
        <is>
          <t>WBS</t>
        </is>
      </c>
      <c r="B12" s="2" t="inlineStr">
        <is>
          <t>Work breakdown: who does what, which day, done criteria, hours, daily Gantt. Start here.</t>
        </is>
      </c>
    </row>
    <row r="13">
      <c r="A13" s="3" t="inlineStr">
        <is>
          <t>Answer_Guide</t>
        </is>
      </c>
      <c r="B13" s="2" t="inlineStr">
        <is>
          <t>How to answer each sub-question, deck storyline with action titles, Q&amp;A prep</t>
        </is>
      </c>
    </row>
    <row r="14">
      <c r="A14" s="3" t="inlineStr">
        <is>
          <t>Ideation</t>
        </is>
      </c>
      <c r="B14" s="2" t="inlineStr">
        <is>
          <t>8 idea options with case gaps, TPS anchor, Toyota precedent, references, weighted scoring</t>
        </is>
      </c>
    </row>
    <row r="15">
      <c r="A15" s="3" t="inlineStr">
        <is>
          <t>Simulation</t>
        </is>
      </c>
      <c r="B15" s="2" t="inlineStr">
        <is>
          <t>Idea tests run in Python: closed-loop quality sim, financial Monte Carlo, roadmap strategies, tornado</t>
        </is>
      </c>
    </row>
    <row r="16">
      <c r="A16" s="3" t="inlineStr">
        <is>
          <t>Exhibits</t>
        </is>
      </c>
      <c r="B16" s="2" t="inlineStr">
        <is>
          <t>Clean re-typed case data (Exhibits 1, 3-9). Fix red cells first</t>
        </is>
      </c>
    </row>
    <row r="17">
      <c r="A17" s="3" t="inlineStr">
        <is>
          <t>Assumptions</t>
        </is>
      </c>
      <c r="B17" s="2" t="inlineStr">
        <is>
          <t>All model inputs + benchmark evidence for each lever; pilot-light phasing</t>
        </is>
      </c>
    </row>
    <row r="18">
      <c r="A18" s="3" t="inlineStr">
        <is>
          <t>Model</t>
        </is>
      </c>
      <c r="B18" s="2" t="inlineStr">
        <is>
          <t>Savings by lever, investment, running cost, NPV, IRR, payback for 3 scenarios (2026-2030)</t>
        </is>
      </c>
    </row>
    <row r="19">
      <c r="A19" s="3" t="inlineStr">
        <is>
          <t>Dashboard</t>
        </is>
      </c>
      <c r="B19" s="2" t="inlineStr">
        <is>
          <t>Scenario summary and charts for the financial slide</t>
        </is>
      </c>
    </row>
    <row r="20">
      <c r="A20" s="3" t="inlineStr">
        <is>
          <t>Breakeven</t>
        </is>
      </c>
      <c r="B20" s="2" t="inlineStr">
        <is>
          <t>How much saving pays back Rp40-120B, plus NPV sensitivity grid</t>
        </is>
      </c>
    </row>
    <row r="21">
      <c r="A21" s="3" t="inlineStr">
        <is>
          <t>Capability</t>
        </is>
      </c>
      <c r="B21" s="2" t="inlineStr">
        <is>
          <t>Workforce model: engineer skill levels, improvement time, know-how, ramp-up to 2030</t>
        </is>
      </c>
    </row>
    <row r="22">
      <c r="A22" s="3" t="inlineStr">
        <is>
          <t>KPIs</t>
        </is>
      </c>
      <c r="B22" s="2" t="inlineStr">
        <is>
          <t>KPI tree with baselines from exhibits and suggested pilot / 2030 targets</t>
        </is>
      </c>
    </row>
    <row r="23">
      <c r="A23" s="3" t="inlineStr">
        <is>
          <t>Roadmap</t>
        </is>
      </c>
      <c r="B23" s="2" t="inlineStr">
        <is>
          <t>Phased 2026-2030 roadmap template across workstreams</t>
        </is>
      </c>
    </row>
    <row r="24">
      <c r="A24" s="3" t="inlineStr">
        <is>
          <t>Risks</t>
        </is>
      </c>
      <c r="B24" s="2" t="inlineStr">
        <is>
          <t>Risk register with mitigations, early-warning KPIs and evidence</t>
        </is>
      </c>
    </row>
    <row r="25">
      <c r="A25" s="3" t="inlineStr">
        <is>
          <t>QA_Bank</t>
        </is>
      </c>
      <c r="B25" s="2" t="inlineStr">
        <is>
          <t>15 likely judge questions with answer outline, evidence and owner</t>
        </is>
      </c>
    </row>
    <row r="27">
      <c r="A27" s="3" t="inlineStr">
        <is>
          <t>How to use</t>
        </is>
      </c>
    </row>
    <row r="28">
      <c r="A28" s="2" t="inlineStr">
        <is>
          <t>1. Day 1: type names in WBS, re-type every red cell in Exhibits from the PDF.</t>
        </is>
      </c>
    </row>
    <row r="29">
      <c r="A29" s="2" t="inlineStr">
        <is>
          <t>2. Day 2-3: re-score Ideation as a team, lock ONE integrated idea + one pilot area by end of Day 3.</t>
        </is>
      </c>
    </row>
    <row r="30">
      <c r="A30" s="2" t="inlineStr">
        <is>
          <t>3. Day 3-4: replace yellow assumptions with numbers you can defend (Assumptions column G shows benchmarks found so far).</t>
        </is>
      </c>
    </row>
    <row r="31">
      <c r="A31" s="2" t="inlineStr">
        <is>
          <t>4. Day 5: re-run run_tests.py so the Simulation tab matches your final assumptions.</t>
        </is>
      </c>
    </row>
    <row r="32">
      <c r="A32" s="2" t="inlineStr">
        <is>
          <t>5. Dashboard, Breakeven and Capability update automatically. Example values in yellow cells are placeholders, not facts.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78"/>
  <sheetViews>
    <sheetView workbookViewId="0">
      <pane xSplit="2" ySplit="12" topLeftCell="C13"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46" customWidth="1" min="2" max="2"/>
    <col width="40" customWidth="1" min="3" max="3"/>
    <col width="8" customWidth="1" min="4" max="4"/>
    <col width="9" customWidth="1" min="5" max="5"/>
    <col width="7" customWidth="1" min="6" max="6"/>
    <col width="7" customWidth="1" min="7" max="7"/>
    <col width="7" customWidth="1" min="8" max="8"/>
    <col width="9" customWidth="1" min="9" max="9"/>
    <col width="13" customWidth="1" min="10" max="10"/>
    <col width="5" customWidth="1" min="11" max="11"/>
    <col width="5" customWidth="1" min="12" max="12"/>
    <col width="5" customWidth="1" min="13" max="13"/>
    <col width="5" customWidth="1" min="14" max="14"/>
    <col width="5" customWidth="1" min="15" max="15"/>
    <col width="5" customWidth="1" min="16" max="16"/>
    <col width="5" customWidth="1" min="17" max="17"/>
  </cols>
  <sheetData>
    <row r="1">
      <c r="A1" s="1" t="inlineStr">
        <is>
          <t>Work breakdown structure: 7 days, 3 members</t>
        </is>
      </c>
    </row>
    <row r="2">
      <c r="A2" s="2" t="inlineStr">
        <is>
          <t>Type your names in the yellow cells. Owner = accountable (hours counted); Support = helps. Update Status daily in the stand-up. Daily load is red above 6.5 hours.</t>
        </is>
      </c>
    </row>
    <row r="4">
      <c r="A4" s="8" t="inlineStr">
        <is>
          <t>Code</t>
        </is>
      </c>
      <c r="B4" s="8" t="inlineStr">
        <is>
          <t>Name</t>
        </is>
      </c>
      <c r="C4" s="8" t="inlineStr">
        <is>
          <t>Role &amp; accountable for</t>
        </is>
      </c>
      <c r="D4" s="8" t="inlineStr">
        <is>
          <t>Hours owned</t>
        </is>
      </c>
      <c r="E4" s="8" t="inlineStr">
        <is>
          <t>Tasks owned</t>
        </is>
      </c>
      <c r="F4" s="8" t="inlineStr">
        <is>
          <t>Tasks done</t>
        </is>
      </c>
      <c r="G4" s="8" t="inlineStr"/>
      <c r="H4" s="8" t="inlineStr"/>
      <c r="I4" s="8" t="inlineStr"/>
      <c r="J4" s="8" t="inlineStr">
        <is>
          <t>Load (h/day)</t>
        </is>
      </c>
      <c r="K4" s="8" t="inlineStr">
        <is>
          <t>D1</t>
        </is>
      </c>
      <c r="L4" s="8" t="inlineStr">
        <is>
          <t>D2</t>
        </is>
      </c>
      <c r="M4" s="8" t="inlineStr">
        <is>
          <t>D3</t>
        </is>
      </c>
      <c r="N4" s="8" t="inlineStr">
        <is>
          <t>D4</t>
        </is>
      </c>
      <c r="O4" s="8" t="inlineStr">
        <is>
          <t>D5</t>
        </is>
      </c>
      <c r="P4" s="8" t="inlineStr">
        <is>
          <t>D6</t>
        </is>
      </c>
      <c r="Q4" s="8" t="inlineStr">
        <is>
          <t>D7</t>
        </is>
      </c>
    </row>
    <row r="5" ht="54" customHeight="1">
      <c r="A5" s="9" t="inlineStr">
        <is>
          <t>M1</t>
        </is>
      </c>
      <c r="B5" s="10" t="inlineStr">
        <is>
          <t>[Name M1]</t>
        </is>
      </c>
      <c r="C5" s="11" t="inlineStr">
        <is>
          <t>Lead, storyline &amp; people: Owns problem framing, vision, idea decision, mindset &amp; knowledge mechanism, governance, risks, exec summary, speaking script, mocks, submission</t>
        </is>
      </c>
      <c r="D5" s="12">
        <f>SUMIF($D$13:$D$70,A5,$H$13:$H$70)</f>
        <v/>
      </c>
      <c r="E5" s="11">
        <f>COUNTIF($D$13:$D$70,A5)</f>
        <v/>
      </c>
      <c r="F5" s="11">
        <f>COUNTIFS($D$13:$D$70,A5,$J$13:$J$70,"Done")</f>
        <v/>
      </c>
      <c r="J5" s="9" t="inlineStr">
        <is>
          <t>M1</t>
        </is>
      </c>
      <c r="K5" s="52">
        <f>SUMPRODUCT(($D$13:$D$70=$A5)*($F$13:$F$70&lt;=1)*($G$13:$G$70&gt;=1),$H$13:$H$70/($G$13:$G$70-$F$13:$F$70+1))</f>
        <v/>
      </c>
      <c r="L5" s="52">
        <f>SUMPRODUCT(($D$13:$D$70=$A5)*($F$13:$F$70&lt;=2)*($G$13:$G$70&gt;=2),$H$13:$H$70/($G$13:$G$70-$F$13:$F$70+1))</f>
        <v/>
      </c>
      <c r="M5" s="52">
        <f>SUMPRODUCT(($D$13:$D$70=$A5)*($F$13:$F$70&lt;=3)*($G$13:$G$70&gt;=3),$H$13:$H$70/($G$13:$G$70-$F$13:$F$70+1))</f>
        <v/>
      </c>
      <c r="N5" s="52">
        <f>SUMPRODUCT(($D$13:$D$70=$A5)*($F$13:$F$70&lt;=4)*($G$13:$G$70&gt;=4),$H$13:$H$70/($G$13:$G$70-$F$13:$F$70+1))</f>
        <v/>
      </c>
      <c r="O5" s="52">
        <f>SUMPRODUCT(($D$13:$D$70=$A5)*($F$13:$F$70&lt;=5)*($G$13:$G$70&gt;=5),$H$13:$H$70/($G$13:$G$70-$F$13:$F$70+1))</f>
        <v/>
      </c>
      <c r="P5" s="52">
        <f>SUMPRODUCT(($D$13:$D$70=$A5)*($F$13:$F$70&lt;=6)*($G$13:$G$70&gt;=6),$H$13:$H$70/($G$13:$G$70-$F$13:$F$70+1))</f>
        <v/>
      </c>
      <c r="Q5" s="52">
        <f>SUMPRODUCT(($D$13:$D$70=$A5)*($F$13:$F$70&lt;=7)*($G$13:$G$70&gt;=7),$H$13:$H$70/($G$13:$G$70-$F$13:$F$70+1))</f>
        <v/>
      </c>
    </row>
    <row r="6" ht="54" customHeight="1">
      <c r="A6" s="9" t="inlineStr">
        <is>
          <t>M2</t>
        </is>
      </c>
      <c r="B6" s="10" t="inlineStr">
        <is>
          <t>[Name M2]</t>
        </is>
      </c>
      <c r="C6" s="11" t="inlineStr">
        <is>
          <t>Operations, TPS &amp; roadmap: Owns gap heat map, root cause, system diagram, day-in-the-life, build-vs-partner, TPS fit, roadmap, slide template and design polish</t>
        </is>
      </c>
      <c r="D6" s="12">
        <f>SUMIF($D$13:$D$70,A6,$H$13:$H$70)</f>
        <v/>
      </c>
      <c r="E6" s="11">
        <f>COUNTIF($D$13:$D$70,A6)</f>
        <v/>
      </c>
      <c r="F6" s="11">
        <f>COUNTIFS($D$13:$D$70,A6,$J$13:$J$70,"Done")</f>
        <v/>
      </c>
      <c r="J6" s="9" t="inlineStr">
        <is>
          <t>M2</t>
        </is>
      </c>
      <c r="K6" s="52">
        <f>SUMPRODUCT(($D$13:$D$70=$A6)*($F$13:$F$70&lt;=1)*($G$13:$G$70&gt;=1),$H$13:$H$70/($G$13:$G$70-$F$13:$F$70+1))</f>
        <v/>
      </c>
      <c r="L6" s="52">
        <f>SUMPRODUCT(($D$13:$D$70=$A6)*($F$13:$F$70&lt;=2)*($G$13:$G$70&gt;=2),$H$13:$H$70/($G$13:$G$70-$F$13:$F$70+1))</f>
        <v/>
      </c>
      <c r="M6" s="52">
        <f>SUMPRODUCT(($D$13:$D$70=$A6)*($F$13:$F$70&lt;=3)*($G$13:$G$70&gt;=3),$H$13:$H$70/($G$13:$G$70-$F$13:$F$70+1))</f>
        <v/>
      </c>
      <c r="N6" s="52">
        <f>SUMPRODUCT(($D$13:$D$70=$A6)*($F$13:$F$70&lt;=4)*($G$13:$G$70&gt;=4),$H$13:$H$70/($G$13:$G$70-$F$13:$F$70+1))</f>
        <v/>
      </c>
      <c r="O6" s="52">
        <f>SUMPRODUCT(($D$13:$D$70=$A6)*($F$13:$F$70&lt;=5)*($G$13:$G$70&gt;=5),$H$13:$H$70/($G$13:$G$70-$F$13:$F$70+1))</f>
        <v/>
      </c>
      <c r="P6" s="52">
        <f>SUMPRODUCT(($D$13:$D$70=$A6)*($F$13:$F$70&lt;=6)*($G$13:$G$70&gt;=6),$H$13:$H$70/($G$13:$G$70-$F$13:$F$70+1))</f>
        <v/>
      </c>
      <c r="Q6" s="52">
        <f>SUMPRODUCT(($D$13:$D$70=$A6)*($F$13:$F$70&lt;=7)*($G$13:$G$70&gt;=7),$H$13:$H$70/($G$13:$G$70-$F$13:$F$70+1))</f>
        <v/>
      </c>
    </row>
    <row r="7" ht="54" customHeight="1">
      <c r="A7" s="9" t="inlineStr">
        <is>
          <t>M3</t>
        </is>
      </c>
      <c r="B7" s="10" t="inlineStr">
        <is>
          <t>[Name M3]</t>
        </is>
      </c>
      <c r="C7" s="11" t="inlineStr">
        <is>
          <t>Quant, finance &amp; evidence: Owns exhibits data, benchmarks, assumptions, Model, simulation re-runs, capability model, KPIs, appendix, number tie-out, Q&amp;A bank</t>
        </is>
      </c>
      <c r="D7" s="12">
        <f>SUMIF($D$13:$D$70,A7,$H$13:$H$70)</f>
        <v/>
      </c>
      <c r="E7" s="11">
        <f>COUNTIF($D$13:$D$70,A7)</f>
        <v/>
      </c>
      <c r="F7" s="11">
        <f>COUNTIFS($D$13:$D$70,A7,$J$13:$J$70,"Done")</f>
        <v/>
      </c>
      <c r="J7" s="9" t="inlineStr">
        <is>
          <t>M3</t>
        </is>
      </c>
      <c r="K7" s="52">
        <f>SUMPRODUCT(($D$13:$D$70=$A7)*($F$13:$F$70&lt;=1)*($G$13:$G$70&gt;=1),$H$13:$H$70/($G$13:$G$70-$F$13:$F$70+1))</f>
        <v/>
      </c>
      <c r="L7" s="52">
        <f>SUMPRODUCT(($D$13:$D$70=$A7)*($F$13:$F$70&lt;=2)*($G$13:$G$70&gt;=2),$H$13:$H$70/($G$13:$G$70-$F$13:$F$70+1))</f>
        <v/>
      </c>
      <c r="M7" s="52">
        <f>SUMPRODUCT(($D$13:$D$70=$A7)*($F$13:$F$70&lt;=3)*($G$13:$G$70&gt;=3),$H$13:$H$70/($G$13:$G$70-$F$13:$F$70+1))</f>
        <v/>
      </c>
      <c r="N7" s="52">
        <f>SUMPRODUCT(($D$13:$D$70=$A7)*($F$13:$F$70&lt;=4)*($G$13:$G$70&gt;=4),$H$13:$H$70/($G$13:$G$70-$F$13:$F$70+1))</f>
        <v/>
      </c>
      <c r="O7" s="52">
        <f>SUMPRODUCT(($D$13:$D$70=$A7)*($F$13:$F$70&lt;=5)*($G$13:$G$70&gt;=5),$H$13:$H$70/($G$13:$G$70-$F$13:$F$70+1))</f>
        <v/>
      </c>
      <c r="P7" s="52">
        <f>SUMPRODUCT(($D$13:$D$70=$A7)*($F$13:$F$70&lt;=6)*($G$13:$G$70&gt;=6),$H$13:$H$70/($G$13:$G$70-$F$13:$F$70+1))</f>
        <v/>
      </c>
      <c r="Q7" s="52">
        <f>SUMPRODUCT(($D$13:$D$70=$A7)*($F$13:$F$70&lt;=7)*($G$13:$G$70&gt;=7),$H$13:$H$70/($G$13:$G$70-$F$13:$F$70+1))</f>
        <v/>
      </c>
    </row>
    <row r="8">
      <c r="A8" s="3" t="inlineStr">
        <is>
          <t>Total</t>
        </is>
      </c>
      <c r="D8" s="14">
        <f>SUM(D5:D7)</f>
        <v/>
      </c>
      <c r="E8" s="3">
        <f>SUM(E5:E7)</f>
        <v/>
      </c>
      <c r="F8" s="3">
        <f>SUM(F5:F7)</f>
        <v/>
      </c>
      <c r="J8" s="3" t="inlineStr">
        <is>
          <t>Team</t>
        </is>
      </c>
      <c r="K8" s="53">
        <f>SUM(K5:K7)</f>
        <v/>
      </c>
      <c r="L8" s="53">
        <f>SUM(L5:L7)</f>
        <v/>
      </c>
      <c r="M8" s="53">
        <f>SUM(M5:M7)</f>
        <v/>
      </c>
      <c r="N8" s="53">
        <f>SUM(N5:N7)</f>
        <v/>
      </c>
      <c r="O8" s="53">
        <f>SUM(O5:O7)</f>
        <v/>
      </c>
      <c r="P8" s="53">
        <f>SUM(P5:P7)</f>
        <v/>
      </c>
      <c r="Q8" s="53">
        <f>SUM(Q5:Q7)</f>
        <v/>
      </c>
    </row>
    <row r="9">
      <c r="C9" s="2" t="inlineStr">
        <is>
          <t>Owned hours are balanced within ~4 h. Each member also supports others' tasks (Support column).</t>
        </is>
      </c>
    </row>
    <row r="12">
      <c r="A12" s="8" t="inlineStr">
        <is>
          <t>WBS</t>
        </is>
      </c>
      <c r="B12" s="8" t="inlineStr">
        <is>
          <t>Work package / task</t>
        </is>
      </c>
      <c r="C12" s="8" t="inlineStr">
        <is>
          <t>Deliverable &amp; done criteria</t>
        </is>
      </c>
      <c r="D12" s="8" t="inlineStr">
        <is>
          <t>Owner</t>
        </is>
      </c>
      <c r="E12" s="8" t="inlineStr">
        <is>
          <t>Support</t>
        </is>
      </c>
      <c r="F12" s="8" t="inlineStr">
        <is>
          <t>Start day</t>
        </is>
      </c>
      <c r="G12" s="8" t="inlineStr">
        <is>
          <t>End day</t>
        </is>
      </c>
      <c r="H12" s="8" t="inlineStr">
        <is>
          <t>Hours</t>
        </is>
      </c>
      <c r="I12" s="8" t="inlineStr">
        <is>
          <t>Depends on</t>
        </is>
      </c>
      <c r="J12" s="8" t="inlineStr">
        <is>
          <t>Status</t>
        </is>
      </c>
      <c r="K12" s="8" t="inlineStr">
        <is>
          <t>D1</t>
        </is>
      </c>
      <c r="L12" s="8" t="inlineStr">
        <is>
          <t>D2</t>
        </is>
      </c>
      <c r="M12" s="8" t="inlineStr">
        <is>
          <t>D3</t>
        </is>
      </c>
      <c r="N12" s="8" t="inlineStr">
        <is>
          <t>D4</t>
        </is>
      </c>
      <c r="O12" s="8" t="inlineStr">
        <is>
          <t>D5</t>
        </is>
      </c>
      <c r="P12" s="8" t="inlineStr">
        <is>
          <t>D6</t>
        </is>
      </c>
      <c r="Q12" s="8" t="inlineStr">
        <is>
          <t>D7</t>
        </is>
      </c>
    </row>
    <row r="13">
      <c r="A13" s="16" t="inlineStr">
        <is>
          <t>1</t>
        </is>
      </c>
      <c r="B13" s="16" t="inlineStr">
        <is>
          <t>PROJECT MANAGEMENT</t>
        </is>
      </c>
      <c r="C13" s="17" t="n"/>
      <c r="D13" s="17" t="n"/>
      <c r="E13" s="17" t="n"/>
      <c r="F13" s="18" t="n">
        <v>0</v>
      </c>
      <c r="G13" s="18" t="n">
        <v>0</v>
      </c>
      <c r="H13" s="17" t="n"/>
      <c r="I13" s="17" t="n"/>
      <c r="J13" s="17" t="n"/>
      <c r="K13" s="17" t="n"/>
      <c r="L13" s="17" t="n"/>
      <c r="M13" s="17" t="n"/>
      <c r="N13" s="17" t="n"/>
      <c r="O13" s="17" t="n"/>
      <c r="P13" s="17" t="n"/>
      <c r="Q13" s="17" t="n"/>
    </row>
    <row r="14" ht="30" customHeight="1">
      <c r="A14" s="11" t="inlineStr">
        <is>
          <t>1.1</t>
        </is>
      </c>
      <c r="B14" s="11" t="inlineStr">
        <is>
          <t>Kick-off: roles, deadline, shared drive, task tracker</t>
        </is>
      </c>
      <c r="C14" s="11" t="inlineStr">
        <is>
          <t>Roles agreed, folder + tracker live</t>
        </is>
      </c>
      <c r="D14" s="19" t="inlineStr">
        <is>
          <t>M1</t>
        </is>
      </c>
      <c r="E14" s="19" t="inlineStr">
        <is>
          <t>All</t>
        </is>
      </c>
      <c r="F14" s="19" t="n">
        <v>1</v>
      </c>
      <c r="G14" s="19" t="n">
        <v>1</v>
      </c>
      <c r="H14" s="19" t="n">
        <v>2</v>
      </c>
      <c r="I14" s="11" t="inlineStr"/>
      <c r="J14" s="10" t="inlineStr">
        <is>
          <t>Not started</t>
        </is>
      </c>
      <c r="K14" s="11">
        <f>IF(AND(1&gt;=$F14,1&lt;=$G14),$D14,"")</f>
        <v/>
      </c>
      <c r="L14" s="11">
        <f>IF(AND(2&gt;=$F14,2&lt;=$G14),$D14,"")</f>
        <v/>
      </c>
      <c r="M14" s="11">
        <f>IF(AND(3&gt;=$F14,3&lt;=$G14),$D14,"")</f>
        <v/>
      </c>
      <c r="N14" s="11">
        <f>IF(AND(4&gt;=$F14,4&lt;=$G14),$D14,"")</f>
        <v/>
      </c>
      <c r="O14" s="11">
        <f>IF(AND(5&gt;=$F14,5&lt;=$G14),$D14,"")</f>
        <v/>
      </c>
      <c r="P14" s="11">
        <f>IF(AND(6&gt;=$F14,6&lt;=$G14),$D14,"")</f>
        <v/>
      </c>
      <c r="Q14" s="11">
        <f>IF(AND(7&gt;=$F14,7&lt;=$G14),$D14,"")</f>
        <v/>
      </c>
    </row>
    <row r="15" ht="30" customHeight="1">
      <c r="A15" s="11" t="inlineStr">
        <is>
          <t>1.2</t>
        </is>
      </c>
      <c r="B15" s="11" t="inlineStr">
        <is>
          <t>Confirm rules in writing (slide limit, format, AI use, judging criteria)</t>
        </is>
      </c>
      <c r="C15" s="11" t="inlineStr">
        <is>
          <t>Written confirmation saved</t>
        </is>
      </c>
      <c r="D15" s="19" t="inlineStr">
        <is>
          <t>M1</t>
        </is>
      </c>
      <c r="E15" s="19" t="inlineStr"/>
      <c r="F15" s="19" t="n">
        <v>1</v>
      </c>
      <c r="G15" s="19" t="n">
        <v>1</v>
      </c>
      <c r="H15" s="19" t="n">
        <v>1</v>
      </c>
      <c r="I15" s="11" t="inlineStr"/>
      <c r="J15" s="10" t="inlineStr">
        <is>
          <t>Not started</t>
        </is>
      </c>
      <c r="K15" s="11">
        <f>IF(AND(1&gt;=$F15,1&lt;=$G15),$D15,"")</f>
        <v/>
      </c>
      <c r="L15" s="11">
        <f>IF(AND(2&gt;=$F15,2&lt;=$G15),$D15,"")</f>
        <v/>
      </c>
      <c r="M15" s="11">
        <f>IF(AND(3&gt;=$F15,3&lt;=$G15),$D15,"")</f>
        <v/>
      </c>
      <c r="N15" s="11">
        <f>IF(AND(4&gt;=$F15,4&lt;=$G15),$D15,"")</f>
        <v/>
      </c>
      <c r="O15" s="11">
        <f>IF(AND(5&gt;=$F15,5&lt;=$G15),$D15,"")</f>
        <v/>
      </c>
      <c r="P15" s="11">
        <f>IF(AND(6&gt;=$F15,6&lt;=$G15),$D15,"")</f>
        <v/>
      </c>
      <c r="Q15" s="11">
        <f>IF(AND(7&gt;=$F15,7&lt;=$G15),$D15,"")</f>
        <v/>
      </c>
    </row>
    <row r="16" ht="30" customHeight="1">
      <c r="A16" s="11" t="inlineStr">
        <is>
          <t>1.3</t>
        </is>
      </c>
      <c r="B16" s="11" t="inlineStr">
        <is>
          <t>Daily 15-min stand-up + update this sheet</t>
        </is>
      </c>
      <c r="C16" s="11" t="inlineStr">
        <is>
          <t>Status column current every evening</t>
        </is>
      </c>
      <c r="D16" s="19" t="inlineStr">
        <is>
          <t>M1</t>
        </is>
      </c>
      <c r="E16" s="19" t="inlineStr">
        <is>
          <t>All</t>
        </is>
      </c>
      <c r="F16" s="19" t="n">
        <v>1</v>
      </c>
      <c r="G16" s="19" t="n">
        <v>7</v>
      </c>
      <c r="H16" s="19" t="n">
        <v>2</v>
      </c>
      <c r="I16" s="11" t="inlineStr">
        <is>
          <t>1.1</t>
        </is>
      </c>
      <c r="J16" s="10" t="inlineStr">
        <is>
          <t>Not started</t>
        </is>
      </c>
      <c r="K16" s="11">
        <f>IF(AND(1&gt;=$F16,1&lt;=$G16),$D16,"")</f>
        <v/>
      </c>
      <c r="L16" s="11">
        <f>IF(AND(2&gt;=$F16,2&lt;=$G16),$D16,"")</f>
        <v/>
      </c>
      <c r="M16" s="11">
        <f>IF(AND(3&gt;=$F16,3&lt;=$G16),$D16,"")</f>
        <v/>
      </c>
      <c r="N16" s="11">
        <f>IF(AND(4&gt;=$F16,4&lt;=$G16),$D16,"")</f>
        <v/>
      </c>
      <c r="O16" s="11">
        <f>IF(AND(5&gt;=$F16,5&lt;=$G16),$D16,"")</f>
        <v/>
      </c>
      <c r="P16" s="11">
        <f>IF(AND(6&gt;=$F16,6&lt;=$G16),$D16,"")</f>
        <v/>
      </c>
      <c r="Q16" s="11">
        <f>IF(AND(7&gt;=$F16,7&lt;=$G16),$D16,"")</f>
        <v/>
      </c>
    </row>
    <row r="17">
      <c r="A17" s="16" t="inlineStr">
        <is>
          <t>2</t>
        </is>
      </c>
      <c r="B17" s="16" t="inlineStr">
        <is>
          <t>DIAGNOSE THE PROBLEM (SQ1)</t>
        </is>
      </c>
      <c r="C17" s="17" t="n"/>
      <c r="D17" s="17" t="n"/>
      <c r="E17" s="17" t="n"/>
      <c r="F17" s="18" t="n">
        <v>0</v>
      </c>
      <c r="G17" s="18" t="n">
        <v>0</v>
      </c>
      <c r="H17" s="17" t="n"/>
      <c r="I17" s="17" t="n"/>
      <c r="J17" s="17" t="n"/>
      <c r="K17" s="17" t="n"/>
      <c r="L17" s="17" t="n"/>
      <c r="M17" s="17" t="n"/>
      <c r="N17" s="17" t="n"/>
      <c r="O17" s="17" t="n"/>
      <c r="P17" s="17" t="n"/>
      <c r="Q17" s="17" t="n"/>
    </row>
    <row r="18" ht="30" customHeight="1">
      <c r="A18" s="11" t="inlineStr">
        <is>
          <t>2.1</t>
        </is>
      </c>
      <c r="B18" s="11" t="inlineStr">
        <is>
          <t>Re-type exhibits from PDF; clear all red cells</t>
        </is>
      </c>
      <c r="C18" s="11" t="inlineStr">
        <is>
          <t>Exhibits tab has zero VERIFY cells</t>
        </is>
      </c>
      <c r="D18" s="19" t="inlineStr">
        <is>
          <t>M3</t>
        </is>
      </c>
      <c r="E18" s="19" t="inlineStr">
        <is>
          <t>M2</t>
        </is>
      </c>
      <c r="F18" s="19" t="n">
        <v>1</v>
      </c>
      <c r="G18" s="19" t="n">
        <v>1</v>
      </c>
      <c r="H18" s="19" t="n">
        <v>2</v>
      </c>
      <c r="I18" s="11" t="inlineStr"/>
      <c r="J18" s="10" t="inlineStr">
        <is>
          <t>Not started</t>
        </is>
      </c>
      <c r="K18" s="11">
        <f>IF(AND(1&gt;=$F18,1&lt;=$G18),$D18,"")</f>
        <v/>
      </c>
      <c r="L18" s="11">
        <f>IF(AND(2&gt;=$F18,2&lt;=$G18),$D18,"")</f>
        <v/>
      </c>
      <c r="M18" s="11">
        <f>IF(AND(3&gt;=$F18,3&lt;=$G18),$D18,"")</f>
        <v/>
      </c>
      <c r="N18" s="11">
        <f>IF(AND(4&gt;=$F18,4&lt;=$G18),$D18,"")</f>
        <v/>
      </c>
      <c r="O18" s="11">
        <f>IF(AND(5&gt;=$F18,5&lt;=$G18),$D18,"")</f>
        <v/>
      </c>
      <c r="P18" s="11">
        <f>IF(AND(6&gt;=$F18,6&lt;=$G18),$D18,"")</f>
        <v/>
      </c>
      <c r="Q18" s="11">
        <f>IF(AND(7&gt;=$F18,7&lt;=$G18),$D18,"")</f>
        <v/>
      </c>
    </row>
    <row r="19" ht="30" customHeight="1">
      <c r="A19" s="11" t="inlineStr">
        <is>
          <t>2.2</t>
        </is>
      </c>
      <c r="B19" s="11" t="inlineStr">
        <is>
          <t>Issue tree + problem statement</t>
        </is>
      </c>
      <c r="C19" s="11" t="inlineStr">
        <is>
          <t>1-page issue tree, MECE, agreed by team</t>
        </is>
      </c>
      <c r="D19" s="19" t="inlineStr">
        <is>
          <t>M1</t>
        </is>
      </c>
      <c r="E19" s="19" t="inlineStr">
        <is>
          <t>All</t>
        </is>
      </c>
      <c r="F19" s="19" t="n">
        <v>1</v>
      </c>
      <c r="G19" s="19" t="n">
        <v>1</v>
      </c>
      <c r="H19" s="19" t="n">
        <v>3</v>
      </c>
      <c r="I19" s="11" t="inlineStr">
        <is>
          <t>2.1</t>
        </is>
      </c>
      <c r="J19" s="10" t="inlineStr">
        <is>
          <t>Not started</t>
        </is>
      </c>
      <c r="K19" s="11">
        <f>IF(AND(1&gt;=$F19,1&lt;=$G19),$D19,"")</f>
        <v/>
      </c>
      <c r="L19" s="11">
        <f>IF(AND(2&gt;=$F19,2&lt;=$G19),$D19,"")</f>
        <v/>
      </c>
      <c r="M19" s="11">
        <f>IF(AND(3&gt;=$F19,3&lt;=$G19),$D19,"")</f>
        <v/>
      </c>
      <c r="N19" s="11">
        <f>IF(AND(4&gt;=$F19,4&lt;=$G19),$D19,"")</f>
        <v/>
      </c>
      <c r="O19" s="11">
        <f>IF(AND(5&gt;=$F19,5&lt;=$G19),$D19,"")</f>
        <v/>
      </c>
      <c r="P19" s="11">
        <f>IF(AND(6&gt;=$F19,6&lt;=$G19),$D19,"")</f>
        <v/>
      </c>
      <c r="Q19" s="11">
        <f>IF(AND(7&gt;=$F19,7&lt;=$G19),$D19,"")</f>
        <v/>
      </c>
    </row>
    <row r="20" ht="30" customHeight="1">
      <c r="A20" s="11" t="inlineStr">
        <is>
          <t>2.3</t>
        </is>
      </c>
      <c r="B20" s="11" t="inlineStr">
        <is>
          <t>Gap heat map: process x cost/quality impact</t>
        </is>
      </c>
      <c r="C20" s="11" t="inlineStr">
        <is>
          <t>Heat map slide using Exhibits 4-5</t>
        </is>
      </c>
      <c r="D20" s="19" t="inlineStr">
        <is>
          <t>M2</t>
        </is>
      </c>
      <c r="E20" s="19" t="inlineStr">
        <is>
          <t>M3</t>
        </is>
      </c>
      <c r="F20" s="19" t="n">
        <v>1</v>
      </c>
      <c r="G20" s="19" t="n">
        <v>2</v>
      </c>
      <c r="H20" s="19" t="n">
        <v>4</v>
      </c>
      <c r="I20" s="11" t="inlineStr">
        <is>
          <t>2.1</t>
        </is>
      </c>
      <c r="J20" s="10" t="inlineStr">
        <is>
          <t>Not started</t>
        </is>
      </c>
      <c r="K20" s="11">
        <f>IF(AND(1&gt;=$F20,1&lt;=$G20),$D20,"")</f>
        <v/>
      </c>
      <c r="L20" s="11">
        <f>IF(AND(2&gt;=$F20,2&lt;=$G20),$D20,"")</f>
        <v/>
      </c>
      <c r="M20" s="11">
        <f>IF(AND(3&gt;=$F20,3&lt;=$G20),$D20,"")</f>
        <v/>
      </c>
      <c r="N20" s="11">
        <f>IF(AND(4&gt;=$F20,4&lt;=$G20),$D20,"")</f>
        <v/>
      </c>
      <c r="O20" s="11">
        <f>IF(AND(5&gt;=$F20,5&lt;=$G20),$D20,"")</f>
        <v/>
      </c>
      <c r="P20" s="11">
        <f>IF(AND(6&gt;=$F20,6&lt;=$G20),$D20,"")</f>
        <v/>
      </c>
      <c r="Q20" s="11">
        <f>IF(AND(7&gt;=$F20,7&lt;=$G20),$D20,"")</f>
        <v/>
      </c>
    </row>
    <row r="21" ht="30" customHeight="1">
      <c r="A21" s="11" t="inlineStr">
        <is>
          <t>2.4</t>
        </is>
      </c>
      <c r="B21" s="11" t="inlineStr">
        <is>
          <t>Root cause (5-whys / fishbone) on the 3 complications</t>
        </is>
      </c>
      <c r="C21" s="11" t="inlineStr">
        <is>
          <t>Root-cause slide: 'open loops'</t>
        </is>
      </c>
      <c r="D21" s="19" t="inlineStr">
        <is>
          <t>M2</t>
        </is>
      </c>
      <c r="E21" s="19" t="inlineStr">
        <is>
          <t>M1</t>
        </is>
      </c>
      <c r="F21" s="19" t="n">
        <v>2</v>
      </c>
      <c r="G21" s="19" t="n">
        <v>2</v>
      </c>
      <c r="H21" s="19" t="n">
        <v>3</v>
      </c>
      <c r="I21" s="11" t="inlineStr">
        <is>
          <t>2.2</t>
        </is>
      </c>
      <c r="J21" s="10" t="inlineStr">
        <is>
          <t>Not started</t>
        </is>
      </c>
      <c r="K21" s="11">
        <f>IF(AND(1&gt;=$F21,1&lt;=$G21),$D21,"")</f>
        <v/>
      </c>
      <c r="L21" s="11">
        <f>IF(AND(2&gt;=$F21,2&lt;=$G21),$D21,"")</f>
        <v/>
      </c>
      <c r="M21" s="11">
        <f>IF(AND(3&gt;=$F21,3&lt;=$G21),$D21,"")</f>
        <v/>
      </c>
      <c r="N21" s="11">
        <f>IF(AND(4&gt;=$F21,4&lt;=$G21),$D21,"")</f>
        <v/>
      </c>
      <c r="O21" s="11">
        <f>IF(AND(5&gt;=$F21,5&lt;=$G21),$D21,"")</f>
        <v/>
      </c>
      <c r="P21" s="11">
        <f>IF(AND(6&gt;=$F21,6&lt;=$G21),$D21,"")</f>
        <v/>
      </c>
      <c r="Q21" s="11">
        <f>IF(AND(7&gt;=$F21,7&lt;=$G21),$D21,"")</f>
        <v/>
      </c>
    </row>
    <row r="22" ht="30" customHeight="1">
      <c r="A22" s="11" t="inlineStr">
        <is>
          <t>2.5</t>
        </is>
      </c>
      <c r="B22" s="11" t="inlineStr">
        <is>
          <t>Benchmark research: Toyota precedents + lever benchmarks</t>
        </is>
      </c>
      <c r="C22" s="11" t="inlineStr">
        <is>
          <t>Ideation refs + Assumptions col G complete</t>
        </is>
      </c>
      <c r="D22" s="19" t="inlineStr">
        <is>
          <t>M3</t>
        </is>
      </c>
      <c r="E22" s="19" t="inlineStr">
        <is>
          <t>M2</t>
        </is>
      </c>
      <c r="F22" s="19" t="n">
        <v>2</v>
      </c>
      <c r="G22" s="19" t="n">
        <v>3</v>
      </c>
      <c r="H22" s="19" t="n">
        <v>4</v>
      </c>
      <c r="I22" s="11" t="inlineStr"/>
      <c r="J22" s="10" t="inlineStr">
        <is>
          <t>Not started</t>
        </is>
      </c>
      <c r="K22" s="11">
        <f>IF(AND(1&gt;=$F22,1&lt;=$G22),$D22,"")</f>
        <v/>
      </c>
      <c r="L22" s="11">
        <f>IF(AND(2&gt;=$F22,2&lt;=$G22),$D22,"")</f>
        <v/>
      </c>
      <c r="M22" s="11">
        <f>IF(AND(3&gt;=$F22,3&lt;=$G22),$D22,"")</f>
        <v/>
      </c>
      <c r="N22" s="11">
        <f>IF(AND(4&gt;=$F22,4&lt;=$G22),$D22,"")</f>
        <v/>
      </c>
      <c r="O22" s="11">
        <f>IF(AND(5&gt;=$F22,5&lt;=$G22),$D22,"")</f>
        <v/>
      </c>
      <c r="P22" s="11">
        <f>IF(AND(6&gt;=$F22,6&lt;=$G22),$D22,"")</f>
        <v/>
      </c>
      <c r="Q22" s="11">
        <f>IF(AND(7&gt;=$F22,7&lt;=$G22),$D22,"")</f>
        <v/>
      </c>
    </row>
    <row r="23" ht="30" customHeight="1">
      <c r="A23" s="11" t="inlineStr">
        <is>
          <t>2.6</t>
        </is>
      </c>
      <c r="B23" s="11" t="inlineStr">
        <is>
          <t>2030 vision + 'value beyond cost' statement</t>
        </is>
      </c>
      <c r="C23" s="11" t="inlineStr">
        <is>
          <t>Vision slide draft</t>
        </is>
      </c>
      <c r="D23" s="19" t="inlineStr">
        <is>
          <t>M1</t>
        </is>
      </c>
      <c r="E23" s="19" t="inlineStr">
        <is>
          <t>M2</t>
        </is>
      </c>
      <c r="F23" s="19" t="n">
        <v>2</v>
      </c>
      <c r="G23" s="19" t="n">
        <v>2</v>
      </c>
      <c r="H23" s="19" t="n">
        <v>2</v>
      </c>
      <c r="I23" s="11" t="inlineStr">
        <is>
          <t>2.3</t>
        </is>
      </c>
      <c r="J23" s="10" t="inlineStr">
        <is>
          <t>Not started</t>
        </is>
      </c>
      <c r="K23" s="11">
        <f>IF(AND(1&gt;=$F23,1&lt;=$G23),$D23,"")</f>
        <v/>
      </c>
      <c r="L23" s="11">
        <f>IF(AND(2&gt;=$F23,2&lt;=$G23),$D23,"")</f>
        <v/>
      </c>
      <c r="M23" s="11">
        <f>IF(AND(3&gt;=$F23,3&lt;=$G23),$D23,"")</f>
        <v/>
      </c>
      <c r="N23" s="11">
        <f>IF(AND(4&gt;=$F23,4&lt;=$G23),$D23,"")</f>
        <v/>
      </c>
      <c r="O23" s="11">
        <f>IF(AND(5&gt;=$F23,5&lt;=$G23),$D23,"")</f>
        <v/>
      </c>
      <c r="P23" s="11">
        <f>IF(AND(6&gt;=$F23,6&lt;=$G23),$D23,"")</f>
        <v/>
      </c>
      <c r="Q23" s="11">
        <f>IF(AND(7&gt;=$F23,7&lt;=$G23),$D23,"")</f>
        <v/>
      </c>
    </row>
    <row r="24">
      <c r="A24" s="16" t="inlineStr">
        <is>
          <t>3</t>
        </is>
      </c>
      <c r="B24" s="16" t="inlineStr">
        <is>
          <t>DESIGN THE IDEA (SQ2)</t>
        </is>
      </c>
      <c r="C24" s="17" t="n"/>
      <c r="D24" s="17" t="n"/>
      <c r="E24" s="17" t="n"/>
      <c r="F24" s="18" t="n">
        <v>0</v>
      </c>
      <c r="G24" s="18" t="n">
        <v>0</v>
      </c>
      <c r="H24" s="17" t="n"/>
      <c r="I24" s="17" t="n"/>
      <c r="J24" s="17" t="n"/>
      <c r="K24" s="17" t="n"/>
      <c r="L24" s="17" t="n"/>
      <c r="M24" s="17" t="n"/>
      <c r="N24" s="17" t="n"/>
      <c r="O24" s="17" t="n"/>
      <c r="P24" s="17" t="n"/>
      <c r="Q24" s="17" t="n"/>
    </row>
    <row r="25" ht="30" customHeight="1">
      <c r="A25" s="11" t="inlineStr">
        <is>
          <t>3.1</t>
        </is>
      </c>
      <c r="B25" s="11" t="inlineStr">
        <is>
          <t>Ideation session: re-score 8 options as a team</t>
        </is>
      </c>
      <c r="C25" s="11" t="inlineStr">
        <is>
          <t>Scoring matrix updated with team scores</t>
        </is>
      </c>
      <c r="D25" s="19" t="inlineStr">
        <is>
          <t>M1</t>
        </is>
      </c>
      <c r="E25" s="19" t="inlineStr">
        <is>
          <t>All</t>
        </is>
      </c>
      <c r="F25" s="19" t="n">
        <v>3</v>
      </c>
      <c r="G25" s="19" t="n">
        <v>3</v>
      </c>
      <c r="H25" s="19" t="n">
        <v>2</v>
      </c>
      <c r="I25" s="11" t="inlineStr">
        <is>
          <t>2.4</t>
        </is>
      </c>
      <c r="J25" s="10" t="inlineStr">
        <is>
          <t>Not started</t>
        </is>
      </c>
      <c r="K25" s="11">
        <f>IF(AND(1&gt;=$F25,1&lt;=$G25),$D25,"")</f>
        <v/>
      </c>
      <c r="L25" s="11">
        <f>IF(AND(2&gt;=$F25,2&lt;=$G25),$D25,"")</f>
        <v/>
      </c>
      <c r="M25" s="11">
        <f>IF(AND(3&gt;=$F25,3&lt;=$G25),$D25,"")</f>
        <v/>
      </c>
      <c r="N25" s="11">
        <f>IF(AND(4&gt;=$F25,4&lt;=$G25),$D25,"")</f>
        <v/>
      </c>
      <c r="O25" s="11">
        <f>IF(AND(5&gt;=$F25,5&lt;=$G25),$D25,"")</f>
        <v/>
      </c>
      <c r="P25" s="11">
        <f>IF(AND(6&gt;=$F25,6&lt;=$G25),$D25,"")</f>
        <v/>
      </c>
      <c r="Q25" s="11">
        <f>IF(AND(7&gt;=$F25,7&lt;=$G25),$D25,"")</f>
        <v/>
      </c>
    </row>
    <row r="26" ht="30" customHeight="1">
      <c r="A26" s="11" t="inlineStr">
        <is>
          <t>3.2</t>
        </is>
      </c>
      <c r="B26" s="11" t="inlineStr">
        <is>
          <t>Decide integrated idea + pilot area (decision log)</t>
        </is>
      </c>
      <c r="C26" s="11" t="inlineStr">
        <is>
          <t>One-line decision + 3 reasons</t>
        </is>
      </c>
      <c r="D26" s="19" t="inlineStr">
        <is>
          <t>M1</t>
        </is>
      </c>
      <c r="E26" s="19" t="inlineStr">
        <is>
          <t>All</t>
        </is>
      </c>
      <c r="F26" s="19" t="n">
        <v>3</v>
      </c>
      <c r="G26" s="19" t="n">
        <v>3</v>
      </c>
      <c r="H26" s="19" t="n">
        <v>1</v>
      </c>
      <c r="I26" s="11" t="inlineStr">
        <is>
          <t>3.1</t>
        </is>
      </c>
      <c r="J26" s="10" t="inlineStr">
        <is>
          <t>Not started</t>
        </is>
      </c>
      <c r="K26" s="11">
        <f>IF(AND(1&gt;=$F26,1&lt;=$G26),$D26,"")</f>
        <v/>
      </c>
      <c r="L26" s="11">
        <f>IF(AND(2&gt;=$F26,2&lt;=$G26),$D26,"")</f>
        <v/>
      </c>
      <c r="M26" s="11">
        <f>IF(AND(3&gt;=$F26,3&lt;=$G26),$D26,"")</f>
        <v/>
      </c>
      <c r="N26" s="11">
        <f>IF(AND(4&gt;=$F26,4&lt;=$G26),$D26,"")</f>
        <v/>
      </c>
      <c r="O26" s="11">
        <f>IF(AND(5&gt;=$F26,5&lt;=$G26),$D26,"")</f>
        <v/>
      </c>
      <c r="P26" s="11">
        <f>IF(AND(6&gt;=$F26,6&lt;=$G26),$D26,"")</f>
        <v/>
      </c>
      <c r="Q26" s="11">
        <f>IF(AND(7&gt;=$F26,7&lt;=$G26),$D26,"")</f>
        <v/>
      </c>
    </row>
    <row r="27" ht="30" customHeight="1">
      <c r="A27" s="11" t="inlineStr">
        <is>
          <t>3.3</t>
        </is>
      </c>
      <c r="B27" s="11" t="inlineStr">
        <is>
          <t>System diagram: three closed loops</t>
        </is>
      </c>
      <c r="C27" s="11" t="inlineStr">
        <is>
          <t>One clean diagram, reviewed by all</t>
        </is>
      </c>
      <c r="D27" s="19" t="inlineStr">
        <is>
          <t>M2</t>
        </is>
      </c>
      <c r="E27" s="19" t="inlineStr">
        <is>
          <t>M1</t>
        </is>
      </c>
      <c r="F27" s="19" t="n">
        <v>3</v>
      </c>
      <c r="G27" s="19" t="n">
        <v>3</v>
      </c>
      <c r="H27" s="19" t="n">
        <v>3</v>
      </c>
      <c r="I27" s="11" t="inlineStr">
        <is>
          <t>3.2</t>
        </is>
      </c>
      <c r="J27" s="10" t="inlineStr">
        <is>
          <t>Not started</t>
        </is>
      </c>
      <c r="K27" s="11">
        <f>IF(AND(1&gt;=$F27,1&lt;=$G27),$D27,"")</f>
        <v/>
      </c>
      <c r="L27" s="11">
        <f>IF(AND(2&gt;=$F27,2&lt;=$G27),$D27,"")</f>
        <v/>
      </c>
      <c r="M27" s="11">
        <f>IF(AND(3&gt;=$F27,3&lt;=$G27),$D27,"")</f>
        <v/>
      </c>
      <c r="N27" s="11">
        <f>IF(AND(4&gt;=$F27,4&lt;=$G27),$D27,"")</f>
        <v/>
      </c>
      <c r="O27" s="11">
        <f>IF(AND(5&gt;=$F27,5&lt;=$G27),$D27,"")</f>
        <v/>
      </c>
      <c r="P27" s="11">
        <f>IF(AND(6&gt;=$F27,6&lt;=$G27),$D27,"")</f>
        <v/>
      </c>
      <c r="Q27" s="11">
        <f>IF(AND(7&gt;=$F27,7&lt;=$G27),$D27,"")</f>
        <v/>
      </c>
    </row>
    <row r="28" ht="30" customHeight="1">
      <c r="A28" s="11" t="inlineStr">
        <is>
          <t>3.4</t>
        </is>
      </c>
      <c r="B28" s="11" t="inlineStr">
        <is>
          <t>Day-in-the-life before/after (operator, team leader, engineer)</t>
        </is>
      </c>
      <c r="C28" s="11" t="inlineStr">
        <is>
          <t>Before/after slide</t>
        </is>
      </c>
      <c r="D28" s="19" t="inlineStr">
        <is>
          <t>M2</t>
        </is>
      </c>
      <c r="E28" s="19" t="inlineStr">
        <is>
          <t>M1</t>
        </is>
      </c>
      <c r="F28" s="19" t="n">
        <v>4</v>
      </c>
      <c r="G28" s="19" t="n">
        <v>4</v>
      </c>
      <c r="H28" s="19" t="n">
        <v>3</v>
      </c>
      <c r="I28" s="11" t="inlineStr">
        <is>
          <t>3.2</t>
        </is>
      </c>
      <c r="J28" s="10" t="inlineStr">
        <is>
          <t>Not started</t>
        </is>
      </c>
      <c r="K28" s="11">
        <f>IF(AND(1&gt;=$F28,1&lt;=$G28),$D28,"")</f>
        <v/>
      </c>
      <c r="L28" s="11">
        <f>IF(AND(2&gt;=$F28,2&lt;=$G28),$D28,"")</f>
        <v/>
      </c>
      <c r="M28" s="11">
        <f>IF(AND(3&gt;=$F28,3&lt;=$G28),$D28,"")</f>
        <v/>
      </c>
      <c r="N28" s="11">
        <f>IF(AND(4&gt;=$F28,4&lt;=$G28),$D28,"")</f>
        <v/>
      </c>
      <c r="O28" s="11">
        <f>IF(AND(5&gt;=$F28,5&lt;=$G28),$D28,"")</f>
        <v/>
      </c>
      <c r="P28" s="11">
        <f>IF(AND(6&gt;=$F28,6&lt;=$G28),$D28,"")</f>
        <v/>
      </c>
      <c r="Q28" s="11">
        <f>IF(AND(7&gt;=$F28,7&lt;=$G28),$D28,"")</f>
        <v/>
      </c>
    </row>
    <row r="29" ht="30" customHeight="1">
      <c r="A29" s="11" t="inlineStr">
        <is>
          <t>3.5</t>
        </is>
      </c>
      <c r="B29" s="11" t="inlineStr">
        <is>
          <t>Mindset &amp; knowledge mechanism (idea channel, capture, recognition)</t>
        </is>
      </c>
      <c r="C29" s="11" t="inlineStr">
        <is>
          <t>Mechanism slide tied to Exhibits 6A/6B</t>
        </is>
      </c>
      <c r="D29" s="19" t="inlineStr">
        <is>
          <t>M1</t>
        </is>
      </c>
      <c r="E29" s="19" t="inlineStr">
        <is>
          <t>M2</t>
        </is>
      </c>
      <c r="F29" s="19" t="n">
        <v>4</v>
      </c>
      <c r="G29" s="19" t="n">
        <v>4</v>
      </c>
      <c r="H29" s="19" t="n">
        <v>3</v>
      </c>
      <c r="I29" s="11" t="inlineStr">
        <is>
          <t>3.2</t>
        </is>
      </c>
      <c r="J29" s="10" t="inlineStr">
        <is>
          <t>Not started</t>
        </is>
      </c>
      <c r="K29" s="11">
        <f>IF(AND(1&gt;=$F29,1&lt;=$G29),$D29,"")</f>
        <v/>
      </c>
      <c r="L29" s="11">
        <f>IF(AND(2&gt;=$F29,2&lt;=$G29),$D29,"")</f>
        <v/>
      </c>
      <c r="M29" s="11">
        <f>IF(AND(3&gt;=$F29,3&lt;=$G29),$D29,"")</f>
        <v/>
      </c>
      <c r="N29" s="11">
        <f>IF(AND(4&gt;=$F29,4&lt;=$G29),$D29,"")</f>
        <v/>
      </c>
      <c r="O29" s="11">
        <f>IF(AND(5&gt;=$F29,5&lt;=$G29),$D29,"")</f>
        <v/>
      </c>
      <c r="P29" s="11">
        <f>IF(AND(6&gt;=$F29,6&lt;=$G29),$D29,"")</f>
        <v/>
      </c>
      <c r="Q29" s="11">
        <f>IF(AND(7&gt;=$F29,7&lt;=$G29),$D29,"")</f>
        <v/>
      </c>
    </row>
    <row r="30" ht="30" customHeight="1">
      <c r="A30" s="11" t="inlineStr">
        <is>
          <t>3.6</t>
        </is>
      </c>
      <c r="B30" s="11" t="inlineStr">
        <is>
          <t>Build vs partner logic per component</t>
        </is>
      </c>
      <c r="C30" s="11" t="inlineStr">
        <is>
          <t>2x2 or table slide</t>
        </is>
      </c>
      <c r="D30" s="19" t="inlineStr">
        <is>
          <t>M2</t>
        </is>
      </c>
      <c r="E30" s="19" t="inlineStr">
        <is>
          <t>M3</t>
        </is>
      </c>
      <c r="F30" s="19" t="n">
        <v>4</v>
      </c>
      <c r="G30" s="19" t="n">
        <v>5</v>
      </c>
      <c r="H30" s="19" t="n">
        <v>2</v>
      </c>
      <c r="I30" s="11" t="inlineStr">
        <is>
          <t>3.2</t>
        </is>
      </c>
      <c r="J30" s="10" t="inlineStr">
        <is>
          <t>Not started</t>
        </is>
      </c>
      <c r="K30" s="11">
        <f>IF(AND(1&gt;=$F30,1&lt;=$G30),$D30,"")</f>
        <v/>
      </c>
      <c r="L30" s="11">
        <f>IF(AND(2&gt;=$F30,2&lt;=$G30),$D30,"")</f>
        <v/>
      </c>
      <c r="M30" s="11">
        <f>IF(AND(3&gt;=$F30,3&lt;=$G30),$D30,"")</f>
        <v/>
      </c>
      <c r="N30" s="11">
        <f>IF(AND(4&gt;=$F30,4&lt;=$G30),$D30,"")</f>
        <v/>
      </c>
      <c r="O30" s="11">
        <f>IF(AND(5&gt;=$F30,5&lt;=$G30),$D30,"")</f>
        <v/>
      </c>
      <c r="P30" s="11">
        <f>IF(AND(6&gt;=$F30,6&lt;=$G30),$D30,"")</f>
        <v/>
      </c>
      <c r="Q30" s="11">
        <f>IF(AND(7&gt;=$F30,7&lt;=$G30),$D30,"")</f>
        <v/>
      </c>
    </row>
    <row r="31" ht="30" customHeight="1">
      <c r="A31" s="11" t="inlineStr">
        <is>
          <t>3.7</t>
        </is>
      </c>
      <c r="B31" s="11" t="inlineStr">
        <is>
          <t>TPS principle mapping (jidoka, kaizen, standardized work, yokoten)</t>
        </is>
      </c>
      <c r="C31" s="11" t="inlineStr">
        <is>
          <t>Mapping table</t>
        </is>
      </c>
      <c r="D31" s="19" t="inlineStr">
        <is>
          <t>M2</t>
        </is>
      </c>
      <c r="E31" s="19" t="inlineStr"/>
      <c r="F31" s="19" t="n">
        <v>3</v>
      </c>
      <c r="G31" s="19" t="n">
        <v>3</v>
      </c>
      <c r="H31" s="19" t="n">
        <v>1</v>
      </c>
      <c r="I31" s="11" t="inlineStr">
        <is>
          <t>3.3</t>
        </is>
      </c>
      <c r="J31" s="10" t="inlineStr">
        <is>
          <t>Not started</t>
        </is>
      </c>
      <c r="K31" s="11">
        <f>IF(AND(1&gt;=$F31,1&lt;=$G31),$D31,"")</f>
        <v/>
      </c>
      <c r="L31" s="11">
        <f>IF(AND(2&gt;=$F31,2&lt;=$G31),$D31,"")</f>
        <v/>
      </c>
      <c r="M31" s="11">
        <f>IF(AND(3&gt;=$F31,3&lt;=$G31),$D31,"")</f>
        <v/>
      </c>
      <c r="N31" s="11">
        <f>IF(AND(4&gt;=$F31,4&lt;=$G31),$D31,"")</f>
        <v/>
      </c>
      <c r="O31" s="11">
        <f>IF(AND(5&gt;=$F31,5&lt;=$G31),$D31,"")</f>
        <v/>
      </c>
      <c r="P31" s="11">
        <f>IF(AND(6&gt;=$F31,6&lt;=$G31),$D31,"")</f>
        <v/>
      </c>
      <c r="Q31" s="11">
        <f>IF(AND(7&gt;=$F31,7&lt;=$G31),$D31,"")</f>
        <v/>
      </c>
    </row>
    <row r="32">
      <c r="A32" s="16" t="inlineStr">
        <is>
          <t>4</t>
        </is>
      </c>
      <c r="B32" s="16" t="inlineStr">
        <is>
          <t>ROADMAP &amp; CAPABILITY (SQ3)</t>
        </is>
      </c>
      <c r="C32" s="17" t="n"/>
      <c r="D32" s="17" t="n"/>
      <c r="E32" s="17" t="n"/>
      <c r="F32" s="18" t="n">
        <v>0</v>
      </c>
      <c r="G32" s="18" t="n">
        <v>0</v>
      </c>
      <c r="H32" s="17" t="n"/>
      <c r="I32" s="17" t="n"/>
      <c r="J32" s="17" t="n"/>
      <c r="K32" s="17" t="n"/>
      <c r="L32" s="17" t="n"/>
      <c r="M32" s="17" t="n"/>
      <c r="N32" s="17" t="n"/>
      <c r="O32" s="17" t="n"/>
      <c r="P32" s="17" t="n"/>
      <c r="Q32" s="17" t="n"/>
    </row>
    <row r="33" ht="30" customHeight="1">
      <c r="A33" s="11" t="inlineStr">
        <is>
          <t>4.1</t>
        </is>
      </c>
      <c r="B33" s="11" t="inlineStr">
        <is>
          <t>Phased roadmap with gates (pilot-light)</t>
        </is>
      </c>
      <c r="C33" s="11" t="inlineStr">
        <is>
          <t>Roadmap slide with gate criteria</t>
        </is>
      </c>
      <c r="D33" s="19" t="inlineStr">
        <is>
          <t>M2</t>
        </is>
      </c>
      <c r="E33" s="19" t="inlineStr">
        <is>
          <t>M3</t>
        </is>
      </c>
      <c r="F33" s="19" t="n">
        <v>4</v>
      </c>
      <c r="G33" s="19" t="n">
        <v>5</v>
      </c>
      <c r="H33" s="19" t="n">
        <v>3</v>
      </c>
      <c r="I33" s="11" t="inlineStr">
        <is>
          <t>3.2</t>
        </is>
      </c>
      <c r="J33" s="10" t="inlineStr">
        <is>
          <t>Not started</t>
        </is>
      </c>
      <c r="K33" s="11">
        <f>IF(AND(1&gt;=$F33,1&lt;=$G33),$D33,"")</f>
        <v/>
      </c>
      <c r="L33" s="11">
        <f>IF(AND(2&gt;=$F33,2&lt;=$G33),$D33,"")</f>
        <v/>
      </c>
      <c r="M33" s="11">
        <f>IF(AND(3&gt;=$F33,3&lt;=$G33),$D33,"")</f>
        <v/>
      </c>
      <c r="N33" s="11">
        <f>IF(AND(4&gt;=$F33,4&lt;=$G33),$D33,"")</f>
        <v/>
      </c>
      <c r="O33" s="11">
        <f>IF(AND(5&gt;=$F33,5&lt;=$G33),$D33,"")</f>
        <v/>
      </c>
      <c r="P33" s="11">
        <f>IF(AND(6&gt;=$F33,6&lt;=$G33),$D33,"")</f>
        <v/>
      </c>
      <c r="Q33" s="11">
        <f>IF(AND(7&gt;=$F33,7&lt;=$G33),$D33,"")</f>
        <v/>
      </c>
    </row>
    <row r="34" ht="30" customHeight="1">
      <c r="A34" s="11" t="inlineStr">
        <is>
          <t>4.2</t>
        </is>
      </c>
      <c r="B34" s="11" t="inlineStr">
        <is>
          <t>Capability plan using Capability tab</t>
        </is>
      </c>
      <c r="C34" s="11" t="inlineStr">
        <is>
          <t>Academy design + L3+ targets consistent with KPIs</t>
        </is>
      </c>
      <c r="D34" s="19" t="inlineStr">
        <is>
          <t>M3</t>
        </is>
      </c>
      <c r="E34" s="19" t="inlineStr">
        <is>
          <t>M1</t>
        </is>
      </c>
      <c r="F34" s="19" t="n">
        <v>4</v>
      </c>
      <c r="G34" s="19" t="n">
        <v>5</v>
      </c>
      <c r="H34" s="19" t="n">
        <v>2</v>
      </c>
      <c r="I34" s="11" t="inlineStr">
        <is>
          <t>3.2</t>
        </is>
      </c>
      <c r="J34" s="10" t="inlineStr">
        <is>
          <t>Not started</t>
        </is>
      </c>
      <c r="K34" s="11">
        <f>IF(AND(1&gt;=$F34,1&lt;=$G34),$D34,"")</f>
        <v/>
      </c>
      <c r="L34" s="11">
        <f>IF(AND(2&gt;=$F34,2&lt;=$G34),$D34,"")</f>
        <v/>
      </c>
      <c r="M34" s="11">
        <f>IF(AND(3&gt;=$F34,3&lt;=$G34),$D34,"")</f>
        <v/>
      </c>
      <c r="N34" s="11">
        <f>IF(AND(4&gt;=$F34,4&lt;=$G34),$D34,"")</f>
        <v/>
      </c>
      <c r="O34" s="11">
        <f>IF(AND(5&gt;=$F34,5&lt;=$G34),$D34,"")</f>
        <v/>
      </c>
      <c r="P34" s="11">
        <f>IF(AND(6&gt;=$F34,6&lt;=$G34),$D34,"")</f>
        <v/>
      </c>
      <c r="Q34" s="11">
        <f>IF(AND(7&gt;=$F34,7&lt;=$G34),$D34,"")</f>
        <v/>
      </c>
    </row>
    <row r="35" ht="30" customHeight="1">
      <c r="A35" s="11" t="inlineStr">
        <is>
          <t>4.3</t>
        </is>
      </c>
      <c r="B35" s="11" t="inlineStr">
        <is>
          <t>Risk register + mitigations (quantify top risks with Simulation)</t>
        </is>
      </c>
      <c r="C35" s="11" t="inlineStr">
        <is>
          <t>Risks tab finalized, top 3 on slide</t>
        </is>
      </c>
      <c r="D35" s="19" t="inlineStr">
        <is>
          <t>M1</t>
        </is>
      </c>
      <c r="E35" s="19" t="inlineStr">
        <is>
          <t>M3</t>
        </is>
      </c>
      <c r="F35" s="19" t="n">
        <v>5</v>
      </c>
      <c r="G35" s="19" t="n">
        <v>5</v>
      </c>
      <c r="H35" s="19" t="n">
        <v>2</v>
      </c>
      <c r="I35" s="11" t="inlineStr">
        <is>
          <t>4.1</t>
        </is>
      </c>
      <c r="J35" s="10" t="inlineStr">
        <is>
          <t>Not started</t>
        </is>
      </c>
      <c r="K35" s="11">
        <f>IF(AND(1&gt;=$F35,1&lt;=$G35),$D35,"")</f>
        <v/>
      </c>
      <c r="L35" s="11">
        <f>IF(AND(2&gt;=$F35,2&lt;=$G35),$D35,"")</f>
        <v/>
      </c>
      <c r="M35" s="11">
        <f>IF(AND(3&gt;=$F35,3&lt;=$G35),$D35,"")</f>
        <v/>
      </c>
      <c r="N35" s="11">
        <f>IF(AND(4&gt;=$F35,4&lt;=$G35),$D35,"")</f>
        <v/>
      </c>
      <c r="O35" s="11">
        <f>IF(AND(5&gt;=$F35,5&lt;=$G35),$D35,"")</f>
        <v/>
      </c>
      <c r="P35" s="11">
        <f>IF(AND(6&gt;=$F35,6&lt;=$G35),$D35,"")</f>
        <v/>
      </c>
      <c r="Q35" s="11">
        <f>IF(AND(7&gt;=$F35,7&lt;=$G35),$D35,"")</f>
        <v/>
      </c>
    </row>
    <row r="36" ht="30" customHeight="1">
      <c r="A36" s="11" t="inlineStr">
        <is>
          <t>4.4</t>
        </is>
      </c>
      <c r="B36" s="11" t="inlineStr">
        <is>
          <t>Governance: owners, cadence, partner roles</t>
        </is>
      </c>
      <c r="C36" s="11" t="inlineStr">
        <is>
          <t>Governance box on roadmap slide</t>
        </is>
      </c>
      <c r="D36" s="19" t="inlineStr">
        <is>
          <t>M1</t>
        </is>
      </c>
      <c r="E36" s="19" t="inlineStr">
        <is>
          <t>M2</t>
        </is>
      </c>
      <c r="F36" s="19" t="n">
        <v>5</v>
      </c>
      <c r="G36" s="19" t="n">
        <v>5</v>
      </c>
      <c r="H36" s="19" t="n">
        <v>1</v>
      </c>
      <c r="I36" s="11" t="inlineStr">
        <is>
          <t>4.1</t>
        </is>
      </c>
      <c r="J36" s="10" t="inlineStr">
        <is>
          <t>Not started</t>
        </is>
      </c>
      <c r="K36" s="11">
        <f>IF(AND(1&gt;=$F36,1&lt;=$G36),$D36,"")</f>
        <v/>
      </c>
      <c r="L36" s="11">
        <f>IF(AND(2&gt;=$F36,2&lt;=$G36),$D36,"")</f>
        <v/>
      </c>
      <c r="M36" s="11">
        <f>IF(AND(3&gt;=$F36,3&lt;=$G36),$D36,"")</f>
        <v/>
      </c>
      <c r="N36" s="11">
        <f>IF(AND(4&gt;=$F36,4&lt;=$G36),$D36,"")</f>
        <v/>
      </c>
      <c r="O36" s="11">
        <f>IF(AND(5&gt;=$F36,5&lt;=$G36),$D36,"")</f>
        <v/>
      </c>
      <c r="P36" s="11">
        <f>IF(AND(6&gt;=$F36,6&lt;=$G36),$D36,"")</f>
        <v/>
      </c>
      <c r="Q36" s="11">
        <f>IF(AND(7&gt;=$F36,7&lt;=$G36),$D36,"")</f>
        <v/>
      </c>
    </row>
    <row r="37">
      <c r="A37" s="16" t="inlineStr">
        <is>
          <t>5</t>
        </is>
      </c>
      <c r="B37" s="16" t="inlineStr">
        <is>
          <t>IMPACT &amp; FINANCIALS (SQ4)</t>
        </is>
      </c>
      <c r="C37" s="17" t="n"/>
      <c r="D37" s="17" t="n"/>
      <c r="E37" s="17" t="n"/>
      <c r="F37" s="18" t="n">
        <v>0</v>
      </c>
      <c r="G37" s="18" t="n">
        <v>0</v>
      </c>
      <c r="H37" s="17" t="n"/>
      <c r="I37" s="17" t="n"/>
      <c r="J37" s="17" t="n"/>
      <c r="K37" s="17" t="n"/>
      <c r="L37" s="17" t="n"/>
      <c r="M37" s="17" t="n"/>
      <c r="N37" s="17" t="n"/>
      <c r="O37" s="17" t="n"/>
      <c r="P37" s="17" t="n"/>
      <c r="Q37" s="17" t="n"/>
    </row>
    <row r="38" ht="30" customHeight="1">
      <c r="A38" s="11" t="inlineStr">
        <is>
          <t>5.1</t>
        </is>
      </c>
      <c r="B38" s="11" t="inlineStr">
        <is>
          <t>Defend every yellow assumption with a source or reason</t>
        </is>
      </c>
      <c r="C38" s="11" t="inlineStr">
        <is>
          <t>No yellow cell without a note</t>
        </is>
      </c>
      <c r="D38" s="19" t="inlineStr">
        <is>
          <t>M3</t>
        </is>
      </c>
      <c r="E38" s="19" t="inlineStr">
        <is>
          <t>M2</t>
        </is>
      </c>
      <c r="F38" s="19" t="n">
        <v>3</v>
      </c>
      <c r="G38" s="19" t="n">
        <v>4</v>
      </c>
      <c r="H38" s="19" t="n">
        <v>4</v>
      </c>
      <c r="I38" s="11" t="inlineStr">
        <is>
          <t>2.5</t>
        </is>
      </c>
      <c r="J38" s="10" t="inlineStr">
        <is>
          <t>Not started</t>
        </is>
      </c>
      <c r="K38" s="11">
        <f>IF(AND(1&gt;=$F38,1&lt;=$G38),$D38,"")</f>
        <v/>
      </c>
      <c r="L38" s="11">
        <f>IF(AND(2&gt;=$F38,2&lt;=$G38),$D38,"")</f>
        <v/>
      </c>
      <c r="M38" s="11">
        <f>IF(AND(3&gt;=$F38,3&lt;=$G38),$D38,"")</f>
        <v/>
      </c>
      <c r="N38" s="11">
        <f>IF(AND(4&gt;=$F38,4&lt;=$G38),$D38,"")</f>
        <v/>
      </c>
      <c r="O38" s="11">
        <f>IF(AND(5&gt;=$F38,5&lt;=$G38),$D38,"")</f>
        <v/>
      </c>
      <c r="P38" s="11">
        <f>IF(AND(6&gt;=$F38,6&lt;=$G38),$D38,"")</f>
        <v/>
      </c>
      <c r="Q38" s="11">
        <f>IF(AND(7&gt;=$F38,7&lt;=$G38),$D38,"")</f>
        <v/>
      </c>
    </row>
    <row r="39" ht="30" customHeight="1">
      <c r="A39" s="11" t="inlineStr">
        <is>
          <t>5.2</t>
        </is>
      </c>
      <c r="B39" s="11" t="inlineStr">
        <is>
          <t>Update Model, scenarios, Dashboard</t>
        </is>
      </c>
      <c r="C39" s="11" t="inlineStr">
        <is>
          <t>Dashboard final; numbers frozen</t>
        </is>
      </c>
      <c r="D39" s="19" t="inlineStr">
        <is>
          <t>M3</t>
        </is>
      </c>
      <c r="E39" s="19" t="inlineStr"/>
      <c r="F39" s="19" t="n">
        <v>4</v>
      </c>
      <c r="G39" s="19" t="n">
        <v>4</v>
      </c>
      <c r="H39" s="19" t="n">
        <v>3</v>
      </c>
      <c r="I39" s="11" t="inlineStr">
        <is>
          <t>5.1</t>
        </is>
      </c>
      <c r="J39" s="10" t="inlineStr">
        <is>
          <t>Not started</t>
        </is>
      </c>
      <c r="K39" s="11">
        <f>IF(AND(1&gt;=$F39,1&lt;=$G39),$D39,"")</f>
        <v/>
      </c>
      <c r="L39" s="11">
        <f>IF(AND(2&gt;=$F39,2&lt;=$G39),$D39,"")</f>
        <v/>
      </c>
      <c r="M39" s="11">
        <f>IF(AND(3&gt;=$F39,3&lt;=$G39),$D39,"")</f>
        <v/>
      </c>
      <c r="N39" s="11">
        <f>IF(AND(4&gt;=$F39,4&lt;=$G39),$D39,"")</f>
        <v/>
      </c>
      <c r="O39" s="11">
        <f>IF(AND(5&gt;=$F39,5&lt;=$G39),$D39,"")</f>
        <v/>
      </c>
      <c r="P39" s="11">
        <f>IF(AND(6&gt;=$F39,6&lt;=$G39),$D39,"")</f>
        <v/>
      </c>
      <c r="Q39" s="11">
        <f>IF(AND(7&gt;=$F39,7&lt;=$G39),$D39,"")</f>
        <v/>
      </c>
    </row>
    <row r="40" ht="30" customHeight="1">
      <c r="A40" s="11" t="inlineStr">
        <is>
          <t>5.3</t>
        </is>
      </c>
      <c r="B40" s="11" t="inlineStr">
        <is>
          <t>Re-run run_tests.py with final assumptions</t>
        </is>
      </c>
      <c r="C40" s="11" t="inlineStr">
        <is>
          <t>Simulation tab refreshed</t>
        </is>
      </c>
      <c r="D40" s="19" t="inlineStr">
        <is>
          <t>M3</t>
        </is>
      </c>
      <c r="E40" s="19" t="inlineStr"/>
      <c r="F40" s="19" t="n">
        <v>5</v>
      </c>
      <c r="G40" s="19" t="n">
        <v>5</v>
      </c>
      <c r="H40" s="19" t="n">
        <v>2</v>
      </c>
      <c r="I40" s="11" t="inlineStr">
        <is>
          <t>5.2</t>
        </is>
      </c>
      <c r="J40" s="10" t="inlineStr">
        <is>
          <t>Not started</t>
        </is>
      </c>
      <c r="K40" s="11">
        <f>IF(AND(1&gt;=$F40,1&lt;=$G40),$D40,"")</f>
        <v/>
      </c>
      <c r="L40" s="11">
        <f>IF(AND(2&gt;=$F40,2&lt;=$G40),$D40,"")</f>
        <v/>
      </c>
      <c r="M40" s="11">
        <f>IF(AND(3&gt;=$F40,3&lt;=$G40),$D40,"")</f>
        <v/>
      </c>
      <c r="N40" s="11">
        <f>IF(AND(4&gt;=$F40,4&lt;=$G40),$D40,"")</f>
        <v/>
      </c>
      <c r="O40" s="11">
        <f>IF(AND(5&gt;=$F40,5&lt;=$G40),$D40,"")</f>
        <v/>
      </c>
      <c r="P40" s="11">
        <f>IF(AND(6&gt;=$F40,6&lt;=$G40),$D40,"")</f>
        <v/>
      </c>
      <c r="Q40" s="11">
        <f>IF(AND(7&gt;=$F40,7&lt;=$G40),$D40,"")</f>
        <v/>
      </c>
    </row>
    <row r="41" ht="30" customHeight="1">
      <c r="A41" s="11" t="inlineStr">
        <is>
          <t>5.4</t>
        </is>
      </c>
      <c r="B41" s="11" t="inlineStr">
        <is>
          <t>Finalize KPI tree (outcome + driver KPIs)</t>
        </is>
      </c>
      <c r="C41" s="11" t="inlineStr">
        <is>
          <t>KPI slide</t>
        </is>
      </c>
      <c r="D41" s="19" t="inlineStr">
        <is>
          <t>M3</t>
        </is>
      </c>
      <c r="E41" s="19" t="inlineStr">
        <is>
          <t>M2</t>
        </is>
      </c>
      <c r="F41" s="19" t="n">
        <v>5</v>
      </c>
      <c r="G41" s="19" t="n">
        <v>6</v>
      </c>
      <c r="H41" s="19" t="n">
        <v>2</v>
      </c>
      <c r="I41" s="11" t="inlineStr">
        <is>
          <t>5.2</t>
        </is>
      </c>
      <c r="J41" s="10" t="inlineStr">
        <is>
          <t>Not started</t>
        </is>
      </c>
      <c r="K41" s="11">
        <f>IF(AND(1&gt;=$F41,1&lt;=$G41),$D41,"")</f>
        <v/>
      </c>
      <c r="L41" s="11">
        <f>IF(AND(2&gt;=$F41,2&lt;=$G41),$D41,"")</f>
        <v/>
      </c>
      <c r="M41" s="11">
        <f>IF(AND(3&gt;=$F41,3&lt;=$G41),$D41,"")</f>
        <v/>
      </c>
      <c r="N41" s="11">
        <f>IF(AND(4&gt;=$F41,4&lt;=$G41),$D41,"")</f>
        <v/>
      </c>
      <c r="O41" s="11">
        <f>IF(AND(5&gt;=$F41,5&lt;=$G41),$D41,"")</f>
        <v/>
      </c>
      <c r="P41" s="11">
        <f>IF(AND(6&gt;=$F41,6&lt;=$G41),$D41,"")</f>
        <v/>
      </c>
      <c r="Q41" s="11">
        <f>IF(AND(7&gt;=$F41,7&lt;=$G41),$D41,"")</f>
        <v/>
      </c>
    </row>
    <row r="42" ht="30" customHeight="1">
      <c r="A42" s="11" t="inlineStr">
        <is>
          <t>5.5</t>
        </is>
      </c>
      <c r="B42" s="11" t="inlineStr">
        <is>
          <t>Non-financial impact: time, flexibility, capability</t>
        </is>
      </c>
      <c r="C42" s="11" t="inlineStr">
        <is>
          <t>Impact summary slide</t>
        </is>
      </c>
      <c r="D42" s="19" t="inlineStr">
        <is>
          <t>M3</t>
        </is>
      </c>
      <c r="E42" s="19" t="inlineStr">
        <is>
          <t>M1</t>
        </is>
      </c>
      <c r="F42" s="19" t="n">
        <v>5</v>
      </c>
      <c r="G42" s="19" t="n">
        <v>6</v>
      </c>
      <c r="H42" s="19" t="n">
        <v>2</v>
      </c>
      <c r="I42" s="11" t="inlineStr">
        <is>
          <t>4.2</t>
        </is>
      </c>
      <c r="J42" s="10" t="inlineStr">
        <is>
          <t>Not started</t>
        </is>
      </c>
      <c r="K42" s="11">
        <f>IF(AND(1&gt;=$F42,1&lt;=$G42),$D42,"")</f>
        <v/>
      </c>
      <c r="L42" s="11">
        <f>IF(AND(2&gt;=$F42,2&lt;=$G42),$D42,"")</f>
        <v/>
      </c>
      <c r="M42" s="11">
        <f>IF(AND(3&gt;=$F42,3&lt;=$G42),$D42,"")</f>
        <v/>
      </c>
      <c r="N42" s="11">
        <f>IF(AND(4&gt;=$F42,4&lt;=$G42),$D42,"")</f>
        <v/>
      </c>
      <c r="O42" s="11">
        <f>IF(AND(5&gt;=$F42,5&lt;=$G42),$D42,"")</f>
        <v/>
      </c>
      <c r="P42" s="11">
        <f>IF(AND(6&gt;=$F42,6&lt;=$G42),$D42,"")</f>
        <v/>
      </c>
      <c r="Q42" s="11">
        <f>IF(AND(7&gt;=$F42,7&lt;=$G42),$D42,"")</f>
        <v/>
      </c>
    </row>
    <row r="43">
      <c r="A43" s="16" t="inlineStr">
        <is>
          <t>6</t>
        </is>
      </c>
      <c r="B43" s="16" t="inlineStr">
        <is>
          <t>DECK &amp; STORY</t>
        </is>
      </c>
      <c r="C43" s="17" t="n"/>
      <c r="D43" s="17" t="n"/>
      <c r="E43" s="17" t="n"/>
      <c r="F43" s="18" t="n">
        <v>0</v>
      </c>
      <c r="G43" s="18" t="n">
        <v>0</v>
      </c>
      <c r="H43" s="17" t="n"/>
      <c r="I43" s="17" t="n"/>
      <c r="J43" s="17" t="n"/>
      <c r="K43" s="17" t="n"/>
      <c r="L43" s="17" t="n"/>
      <c r="M43" s="17" t="n"/>
      <c r="N43" s="17" t="n"/>
      <c r="O43" s="17" t="n"/>
      <c r="P43" s="17" t="n"/>
      <c r="Q43" s="17" t="n"/>
    </row>
    <row r="44" ht="30" customHeight="1">
      <c r="A44" s="11" t="inlineStr">
        <is>
          <t>6.1</t>
        </is>
      </c>
      <c r="B44" s="11" t="inlineStr">
        <is>
          <t>Storyline skeleton with action titles</t>
        </is>
      </c>
      <c r="C44" s="11" t="inlineStr">
        <is>
          <t>Titles alone tell the story</t>
        </is>
      </c>
      <c r="D44" s="19" t="inlineStr">
        <is>
          <t>M1</t>
        </is>
      </c>
      <c r="E44" s="19" t="inlineStr">
        <is>
          <t>All</t>
        </is>
      </c>
      <c r="F44" s="19" t="n">
        <v>3</v>
      </c>
      <c r="G44" s="19" t="n">
        <v>3</v>
      </c>
      <c r="H44" s="19" t="n">
        <v>2</v>
      </c>
      <c r="I44" s="11" t="inlineStr">
        <is>
          <t>3.2</t>
        </is>
      </c>
      <c r="J44" s="10" t="inlineStr">
        <is>
          <t>Not started</t>
        </is>
      </c>
      <c r="K44" s="11">
        <f>IF(AND(1&gt;=$F44,1&lt;=$G44),$D44,"")</f>
        <v/>
      </c>
      <c r="L44" s="11">
        <f>IF(AND(2&gt;=$F44,2&lt;=$G44),$D44,"")</f>
        <v/>
      </c>
      <c r="M44" s="11">
        <f>IF(AND(3&gt;=$F44,3&lt;=$G44),$D44,"")</f>
        <v/>
      </c>
      <c r="N44" s="11">
        <f>IF(AND(4&gt;=$F44,4&lt;=$G44),$D44,"")</f>
        <v/>
      </c>
      <c r="O44" s="11">
        <f>IF(AND(5&gt;=$F44,5&lt;=$G44),$D44,"")</f>
        <v/>
      </c>
      <c r="P44" s="11">
        <f>IF(AND(6&gt;=$F44,6&lt;=$G44),$D44,"")</f>
        <v/>
      </c>
      <c r="Q44" s="11">
        <f>IF(AND(7&gt;=$F44,7&lt;=$G44),$D44,"")</f>
        <v/>
      </c>
    </row>
    <row r="45" ht="30" customHeight="1">
      <c r="A45" s="11" t="inlineStr">
        <is>
          <t>6.2</t>
        </is>
      </c>
      <c r="B45" s="11" t="inlineStr">
        <is>
          <t>Slide template + visual system</t>
        </is>
      </c>
      <c r="C45" s="11" t="inlineStr">
        <is>
          <t>Master template shared</t>
        </is>
      </c>
      <c r="D45" s="19" t="inlineStr">
        <is>
          <t>M2</t>
        </is>
      </c>
      <c r="E45" s="19" t="inlineStr"/>
      <c r="F45" s="19" t="n">
        <v>2</v>
      </c>
      <c r="G45" s="19" t="n">
        <v>3</v>
      </c>
      <c r="H45" s="19" t="n">
        <v>2</v>
      </c>
      <c r="I45" s="11" t="inlineStr"/>
      <c r="J45" s="10" t="inlineStr">
        <is>
          <t>Not started</t>
        </is>
      </c>
      <c r="K45" s="11">
        <f>IF(AND(1&gt;=$F45,1&lt;=$G45),$D45,"")</f>
        <v/>
      </c>
      <c r="L45" s="11">
        <f>IF(AND(2&gt;=$F45,2&lt;=$G45),$D45,"")</f>
        <v/>
      </c>
      <c r="M45" s="11">
        <f>IF(AND(3&gt;=$F45,3&lt;=$G45),$D45,"")</f>
        <v/>
      </c>
      <c r="N45" s="11">
        <f>IF(AND(4&gt;=$F45,4&lt;=$G45),$D45,"")</f>
        <v/>
      </c>
      <c r="O45" s="11">
        <f>IF(AND(5&gt;=$F45,5&lt;=$G45),$D45,"")</f>
        <v/>
      </c>
      <c r="P45" s="11">
        <f>IF(AND(6&gt;=$F45,6&lt;=$G45),$D45,"")</f>
        <v/>
      </c>
      <c r="Q45" s="11">
        <f>IF(AND(7&gt;=$F45,7&lt;=$G45),$D45,"")</f>
        <v/>
      </c>
    </row>
    <row r="46" ht="30" customHeight="1">
      <c r="A46" s="11" t="inlineStr">
        <is>
          <t>6.3</t>
        </is>
      </c>
      <c r="B46" s="11" t="inlineStr">
        <is>
          <t>SQ1 slides (situation, root cause, vision, gap)</t>
        </is>
      </c>
      <c r="C46" s="11" t="inlineStr">
        <is>
          <t>Draft slides</t>
        </is>
      </c>
      <c r="D46" s="19" t="inlineStr">
        <is>
          <t>M1</t>
        </is>
      </c>
      <c r="E46" s="19" t="inlineStr">
        <is>
          <t>M2</t>
        </is>
      </c>
      <c r="F46" s="19" t="n">
        <v>4</v>
      </c>
      <c r="G46" s="19" t="n">
        <v>5</v>
      </c>
      <c r="H46" s="19" t="n">
        <v>3</v>
      </c>
      <c r="I46" s="11" t="inlineStr">
        <is>
          <t>2.3</t>
        </is>
      </c>
      <c r="J46" s="10" t="inlineStr">
        <is>
          <t>Not started</t>
        </is>
      </c>
      <c r="K46" s="11">
        <f>IF(AND(1&gt;=$F46,1&lt;=$G46),$D46,"")</f>
        <v/>
      </c>
      <c r="L46" s="11">
        <f>IF(AND(2&gt;=$F46,2&lt;=$G46),$D46,"")</f>
        <v/>
      </c>
      <c r="M46" s="11">
        <f>IF(AND(3&gt;=$F46,3&lt;=$G46),$D46,"")</f>
        <v/>
      </c>
      <c r="N46" s="11">
        <f>IF(AND(4&gt;=$F46,4&lt;=$G46),$D46,"")</f>
        <v/>
      </c>
      <c r="O46" s="11">
        <f>IF(AND(5&gt;=$F46,5&lt;=$G46),$D46,"")</f>
        <v/>
      </c>
      <c r="P46" s="11">
        <f>IF(AND(6&gt;=$F46,6&lt;=$G46),$D46,"")</f>
        <v/>
      </c>
      <c r="Q46" s="11">
        <f>IF(AND(7&gt;=$F46,7&lt;=$G46),$D46,"")</f>
        <v/>
      </c>
    </row>
    <row r="47" ht="30" customHeight="1">
      <c r="A47" s="11" t="inlineStr">
        <is>
          <t>6.4</t>
        </is>
      </c>
      <c r="B47" s="11" t="inlineStr">
        <is>
          <t>SQ2 slides (idea, mechanism, day-in-the-life)</t>
        </is>
      </c>
      <c r="C47" s="11" t="inlineStr">
        <is>
          <t>Draft slides</t>
        </is>
      </c>
      <c r="D47" s="19" t="inlineStr">
        <is>
          <t>M2</t>
        </is>
      </c>
      <c r="E47" s="19" t="inlineStr">
        <is>
          <t>M1</t>
        </is>
      </c>
      <c r="F47" s="19" t="n">
        <v>5</v>
      </c>
      <c r="G47" s="19" t="n">
        <v>6</v>
      </c>
      <c r="H47" s="19" t="n">
        <v>4</v>
      </c>
      <c r="I47" s="11" t="inlineStr">
        <is>
          <t>3.3</t>
        </is>
      </c>
      <c r="J47" s="10" t="inlineStr">
        <is>
          <t>Not started</t>
        </is>
      </c>
      <c r="K47" s="11">
        <f>IF(AND(1&gt;=$F47,1&lt;=$G47),$D47,"")</f>
        <v/>
      </c>
      <c r="L47" s="11">
        <f>IF(AND(2&gt;=$F47,2&lt;=$G47),$D47,"")</f>
        <v/>
      </c>
      <c r="M47" s="11">
        <f>IF(AND(3&gt;=$F47,3&lt;=$G47),$D47,"")</f>
        <v/>
      </c>
      <c r="N47" s="11">
        <f>IF(AND(4&gt;=$F47,4&lt;=$G47),$D47,"")</f>
        <v/>
      </c>
      <c r="O47" s="11">
        <f>IF(AND(5&gt;=$F47,5&lt;=$G47),$D47,"")</f>
        <v/>
      </c>
      <c r="P47" s="11">
        <f>IF(AND(6&gt;=$F47,6&lt;=$G47),$D47,"")</f>
        <v/>
      </c>
      <c r="Q47" s="11">
        <f>IF(AND(7&gt;=$F47,7&lt;=$G47),$D47,"")</f>
        <v/>
      </c>
    </row>
    <row r="48" ht="30" customHeight="1">
      <c r="A48" s="11" t="inlineStr">
        <is>
          <t>6.5</t>
        </is>
      </c>
      <c r="B48" s="11" t="inlineStr">
        <is>
          <t>SQ3 slides (roadmap, capability, risks)</t>
        </is>
      </c>
      <c r="C48" s="11" t="inlineStr">
        <is>
          <t>Draft slides</t>
        </is>
      </c>
      <c r="D48" s="19" t="inlineStr">
        <is>
          <t>M2</t>
        </is>
      </c>
      <c r="E48" s="19" t="inlineStr">
        <is>
          <t>M3</t>
        </is>
      </c>
      <c r="F48" s="19" t="n">
        <v>5</v>
      </c>
      <c r="G48" s="19" t="n">
        <v>6</v>
      </c>
      <c r="H48" s="19" t="n">
        <v>3</v>
      </c>
      <c r="I48" s="11" t="inlineStr">
        <is>
          <t>4.1</t>
        </is>
      </c>
      <c r="J48" s="10" t="inlineStr">
        <is>
          <t>Not started</t>
        </is>
      </c>
      <c r="K48" s="11">
        <f>IF(AND(1&gt;=$F48,1&lt;=$G48),$D48,"")</f>
        <v/>
      </c>
      <c r="L48" s="11">
        <f>IF(AND(2&gt;=$F48,2&lt;=$G48),$D48,"")</f>
        <v/>
      </c>
      <c r="M48" s="11">
        <f>IF(AND(3&gt;=$F48,3&lt;=$G48),$D48,"")</f>
        <v/>
      </c>
      <c r="N48" s="11">
        <f>IF(AND(4&gt;=$F48,4&lt;=$G48),$D48,"")</f>
        <v/>
      </c>
      <c r="O48" s="11">
        <f>IF(AND(5&gt;=$F48,5&lt;=$G48),$D48,"")</f>
        <v/>
      </c>
      <c r="P48" s="11">
        <f>IF(AND(6&gt;=$F48,6&lt;=$G48),$D48,"")</f>
        <v/>
      </c>
      <c r="Q48" s="11">
        <f>IF(AND(7&gt;=$F48,7&lt;=$G48),$D48,"")</f>
        <v/>
      </c>
    </row>
    <row r="49" ht="30" customHeight="1">
      <c r="A49" s="11" t="inlineStr">
        <is>
          <t>6.6</t>
        </is>
      </c>
      <c r="B49" s="11" t="inlineStr">
        <is>
          <t>SQ4 slides (financials, simulation, KPIs)</t>
        </is>
      </c>
      <c r="C49" s="11" t="inlineStr">
        <is>
          <t>Draft slides</t>
        </is>
      </c>
      <c r="D49" s="19" t="inlineStr">
        <is>
          <t>M3</t>
        </is>
      </c>
      <c r="E49" s="19" t="inlineStr"/>
      <c r="F49" s="19" t="n">
        <v>5</v>
      </c>
      <c r="G49" s="19" t="n">
        <v>6</v>
      </c>
      <c r="H49" s="19" t="n">
        <v>3</v>
      </c>
      <c r="I49" s="11" t="inlineStr">
        <is>
          <t>5.2</t>
        </is>
      </c>
      <c r="J49" s="10" t="inlineStr">
        <is>
          <t>Not started</t>
        </is>
      </c>
      <c r="K49" s="11">
        <f>IF(AND(1&gt;=$F49,1&lt;=$G49),$D49,"")</f>
        <v/>
      </c>
      <c r="L49" s="11">
        <f>IF(AND(2&gt;=$F49,2&lt;=$G49),$D49,"")</f>
        <v/>
      </c>
      <c r="M49" s="11">
        <f>IF(AND(3&gt;=$F49,3&lt;=$G49),$D49,"")</f>
        <v/>
      </c>
      <c r="N49" s="11">
        <f>IF(AND(4&gt;=$F49,4&lt;=$G49),$D49,"")</f>
        <v/>
      </c>
      <c r="O49" s="11">
        <f>IF(AND(5&gt;=$F49,5&lt;=$G49),$D49,"")</f>
        <v/>
      </c>
      <c r="P49" s="11">
        <f>IF(AND(6&gt;=$F49,6&lt;=$G49),$D49,"")</f>
        <v/>
      </c>
      <c r="Q49" s="11">
        <f>IF(AND(7&gt;=$F49,7&lt;=$G49),$D49,"")</f>
        <v/>
      </c>
    </row>
    <row r="50" ht="30" customHeight="1">
      <c r="A50" s="11" t="inlineStr">
        <is>
          <t>6.7</t>
        </is>
      </c>
      <c r="B50" s="11" t="inlineStr">
        <is>
          <t>Executive summary</t>
        </is>
      </c>
      <c r="C50" s="11" t="inlineStr">
        <is>
          <t>1 slide, readable in 30 seconds</t>
        </is>
      </c>
      <c r="D50" s="19" t="inlineStr">
        <is>
          <t>M1</t>
        </is>
      </c>
      <c r="E50" s="19" t="inlineStr">
        <is>
          <t>All</t>
        </is>
      </c>
      <c r="F50" s="19" t="n">
        <v>6</v>
      </c>
      <c r="G50" s="19" t="n">
        <v>6</v>
      </c>
      <c r="H50" s="19" t="n">
        <v>2</v>
      </c>
      <c r="I50" s="11" t="inlineStr">
        <is>
          <t>6.3</t>
        </is>
      </c>
      <c r="J50" s="10" t="inlineStr">
        <is>
          <t>Not started</t>
        </is>
      </c>
      <c r="K50" s="11">
        <f>IF(AND(1&gt;=$F50,1&lt;=$G50),$D50,"")</f>
        <v/>
      </c>
      <c r="L50" s="11">
        <f>IF(AND(2&gt;=$F50,2&lt;=$G50),$D50,"")</f>
        <v/>
      </c>
      <c r="M50" s="11">
        <f>IF(AND(3&gt;=$F50,3&lt;=$G50),$D50,"")</f>
        <v/>
      </c>
      <c r="N50" s="11">
        <f>IF(AND(4&gt;=$F50,4&lt;=$G50),$D50,"")</f>
        <v/>
      </c>
      <c r="O50" s="11">
        <f>IF(AND(5&gt;=$F50,5&lt;=$G50),$D50,"")</f>
        <v/>
      </c>
      <c r="P50" s="11">
        <f>IF(AND(6&gt;=$F50,6&lt;=$G50),$D50,"")</f>
        <v/>
      </c>
      <c r="Q50" s="11">
        <f>IF(AND(7&gt;=$F50,7&lt;=$G50),$D50,"")</f>
        <v/>
      </c>
    </row>
    <row r="51" ht="30" customHeight="1">
      <c r="A51" s="11" t="inlineStr">
        <is>
          <t>6.8</t>
        </is>
      </c>
      <c r="B51" s="11" t="inlineStr">
        <is>
          <t>Appendix: assumptions, simulation, alternatives, sources</t>
        </is>
      </c>
      <c r="C51" s="11" t="inlineStr">
        <is>
          <t>Appendix complete, same style</t>
        </is>
      </c>
      <c r="D51" s="19" t="inlineStr">
        <is>
          <t>M3</t>
        </is>
      </c>
      <c r="E51" s="19" t="inlineStr">
        <is>
          <t>M2</t>
        </is>
      </c>
      <c r="F51" s="19" t="n">
        <v>6</v>
      </c>
      <c r="G51" s="19" t="n">
        <v>6</v>
      </c>
      <c r="H51" s="19" t="n">
        <v>2</v>
      </c>
      <c r="I51" s="11" t="inlineStr">
        <is>
          <t>5.3</t>
        </is>
      </c>
      <c r="J51" s="10" t="inlineStr">
        <is>
          <t>Not started</t>
        </is>
      </c>
      <c r="K51" s="11">
        <f>IF(AND(1&gt;=$F51,1&lt;=$G51),$D51,"")</f>
        <v/>
      </c>
      <c r="L51" s="11">
        <f>IF(AND(2&gt;=$F51,2&lt;=$G51),$D51,"")</f>
        <v/>
      </c>
      <c r="M51" s="11">
        <f>IF(AND(3&gt;=$F51,3&lt;=$G51),$D51,"")</f>
        <v/>
      </c>
      <c r="N51" s="11">
        <f>IF(AND(4&gt;=$F51,4&lt;=$G51),$D51,"")</f>
        <v/>
      </c>
      <c r="O51" s="11">
        <f>IF(AND(5&gt;=$F51,5&lt;=$G51),$D51,"")</f>
        <v/>
      </c>
      <c r="P51" s="11">
        <f>IF(AND(6&gt;=$F51,6&lt;=$G51),$D51,"")</f>
        <v/>
      </c>
      <c r="Q51" s="11">
        <f>IF(AND(7&gt;=$F51,7&lt;=$G51),$D51,"")</f>
        <v/>
      </c>
    </row>
    <row r="52" ht="30" customHeight="1">
      <c r="A52" s="11" t="inlineStr">
        <is>
          <t>6.9</t>
        </is>
      </c>
      <c r="B52" s="11" t="inlineStr">
        <is>
          <t>Design polish + consistency pass</t>
        </is>
      </c>
      <c r="C52" s="11" t="inlineStr">
        <is>
          <t>One font, one color system, aligned charts</t>
        </is>
      </c>
      <c r="D52" s="19" t="inlineStr">
        <is>
          <t>M2</t>
        </is>
      </c>
      <c r="E52" s="19" t="inlineStr"/>
      <c r="F52" s="19" t="n">
        <v>6</v>
      </c>
      <c r="G52" s="19" t="n">
        <v>7</v>
      </c>
      <c r="H52" s="19" t="n">
        <v>3</v>
      </c>
      <c r="I52" s="11" t="inlineStr">
        <is>
          <t>6.7</t>
        </is>
      </c>
      <c r="J52" s="10" t="inlineStr">
        <is>
          <t>Not started</t>
        </is>
      </c>
      <c r="K52" s="11">
        <f>IF(AND(1&gt;=$F52,1&lt;=$G52),$D52,"")</f>
        <v/>
      </c>
      <c r="L52" s="11">
        <f>IF(AND(2&gt;=$F52,2&lt;=$G52),$D52,"")</f>
        <v/>
      </c>
      <c r="M52" s="11">
        <f>IF(AND(3&gt;=$F52,3&lt;=$G52),$D52,"")</f>
        <v/>
      </c>
      <c r="N52" s="11">
        <f>IF(AND(4&gt;=$F52,4&lt;=$G52),$D52,"")</f>
        <v/>
      </c>
      <c r="O52" s="11">
        <f>IF(AND(5&gt;=$F52,5&lt;=$G52),$D52,"")</f>
        <v/>
      </c>
      <c r="P52" s="11">
        <f>IF(AND(6&gt;=$F52,6&lt;=$G52),$D52,"")</f>
        <v/>
      </c>
      <c r="Q52" s="11">
        <f>IF(AND(7&gt;=$F52,7&lt;=$G52),$D52,"")</f>
        <v/>
      </c>
    </row>
    <row r="53">
      <c r="A53" s="16" t="inlineStr">
        <is>
          <t>7</t>
        </is>
      </c>
      <c r="B53" s="16" t="inlineStr">
        <is>
          <t>QUALITY &amp; PRESENTATION</t>
        </is>
      </c>
      <c r="C53" s="17" t="n"/>
      <c r="D53" s="17" t="n"/>
      <c r="E53" s="17" t="n"/>
      <c r="F53" s="18" t="n">
        <v>0</v>
      </c>
      <c r="G53" s="18" t="n">
        <v>0</v>
      </c>
      <c r="H53" s="17" t="n"/>
      <c r="I53" s="17" t="n"/>
      <c r="J53" s="17" t="n"/>
      <c r="K53" s="17" t="n"/>
      <c r="L53" s="17" t="n"/>
      <c r="M53" s="17" t="n"/>
      <c r="N53" s="17" t="n"/>
      <c r="O53" s="17" t="n"/>
      <c r="P53" s="17" t="n"/>
      <c r="Q53" s="17" t="n"/>
    </row>
    <row r="54" ht="30" customHeight="1">
      <c r="A54" s="11" t="inlineStr">
        <is>
          <t>7.1</t>
        </is>
      </c>
      <c r="B54" s="11" t="inlineStr">
        <is>
          <t>Red-team review: each member attacks another's section</t>
        </is>
      </c>
      <c r="C54" s="11" t="inlineStr">
        <is>
          <t>Comment list closed</t>
        </is>
      </c>
      <c r="D54" s="19" t="inlineStr">
        <is>
          <t>M1</t>
        </is>
      </c>
      <c r="E54" s="19" t="inlineStr">
        <is>
          <t>All</t>
        </is>
      </c>
      <c r="F54" s="19" t="n">
        <v>5</v>
      </c>
      <c r="G54" s="19" t="n">
        <v>6</v>
      </c>
      <c r="H54" s="19" t="n">
        <v>2</v>
      </c>
      <c r="I54" s="11" t="inlineStr">
        <is>
          <t>6.3</t>
        </is>
      </c>
      <c r="J54" s="10" t="inlineStr">
        <is>
          <t>Not started</t>
        </is>
      </c>
      <c r="K54" s="11">
        <f>IF(AND(1&gt;=$F54,1&lt;=$G54),$D54,"")</f>
        <v/>
      </c>
      <c r="L54" s="11">
        <f>IF(AND(2&gt;=$F54,2&lt;=$G54),$D54,"")</f>
        <v/>
      </c>
      <c r="M54" s="11">
        <f>IF(AND(3&gt;=$F54,3&lt;=$G54),$D54,"")</f>
        <v/>
      </c>
      <c r="N54" s="11">
        <f>IF(AND(4&gt;=$F54,4&lt;=$G54),$D54,"")</f>
        <v/>
      </c>
      <c r="O54" s="11">
        <f>IF(AND(5&gt;=$F54,5&lt;=$G54),$D54,"")</f>
        <v/>
      </c>
      <c r="P54" s="11">
        <f>IF(AND(6&gt;=$F54,6&lt;=$G54),$D54,"")</f>
        <v/>
      </c>
      <c r="Q54" s="11">
        <f>IF(AND(7&gt;=$F54,7&lt;=$G54),$D54,"")</f>
        <v/>
      </c>
    </row>
    <row r="55" ht="30" customHeight="1">
      <c r="A55" s="11" t="inlineStr">
        <is>
          <t>7.2</t>
        </is>
      </c>
      <c r="B55" s="11" t="inlineStr">
        <is>
          <t>Number tie-out: every number traced to tab/exhibit</t>
        </is>
      </c>
      <c r="C55" s="11" t="inlineStr">
        <is>
          <t>Checklist signed off</t>
        </is>
      </c>
      <c r="D55" s="19" t="inlineStr">
        <is>
          <t>M3</t>
        </is>
      </c>
      <c r="E55" s="19" t="inlineStr">
        <is>
          <t>M1</t>
        </is>
      </c>
      <c r="F55" s="19" t="n">
        <v>6</v>
      </c>
      <c r="G55" s="19" t="n">
        <v>7</v>
      </c>
      <c r="H55" s="19" t="n">
        <v>2</v>
      </c>
      <c r="I55" s="11" t="inlineStr">
        <is>
          <t>6.8</t>
        </is>
      </c>
      <c r="J55" s="10" t="inlineStr">
        <is>
          <t>Not started</t>
        </is>
      </c>
      <c r="K55" s="11">
        <f>IF(AND(1&gt;=$F55,1&lt;=$G55),$D55,"")</f>
        <v/>
      </c>
      <c r="L55" s="11">
        <f>IF(AND(2&gt;=$F55,2&lt;=$G55),$D55,"")</f>
        <v/>
      </c>
      <c r="M55" s="11">
        <f>IF(AND(3&gt;=$F55,3&lt;=$G55),$D55,"")</f>
        <v/>
      </c>
      <c r="N55" s="11">
        <f>IF(AND(4&gt;=$F55,4&lt;=$G55),$D55,"")</f>
        <v/>
      </c>
      <c r="O55" s="11">
        <f>IF(AND(5&gt;=$F55,5&lt;=$G55),$D55,"")</f>
        <v/>
      </c>
      <c r="P55" s="11">
        <f>IF(AND(6&gt;=$F55,6&lt;=$G55),$D55,"")</f>
        <v/>
      </c>
      <c r="Q55" s="11">
        <f>IF(AND(7&gt;=$F55,7&lt;=$G55),$D55,"")</f>
        <v/>
      </c>
    </row>
    <row r="56" ht="30" customHeight="1">
      <c r="A56" s="11" t="inlineStr">
        <is>
          <t>7.3</t>
        </is>
      </c>
      <c r="B56" s="11" t="inlineStr">
        <is>
          <t>Q&amp;A bank: answers + owner per question (QA_Bank tab)</t>
        </is>
      </c>
      <c r="C56" s="11" t="inlineStr">
        <is>
          <t>Every question has an owner + data point</t>
        </is>
      </c>
      <c r="D56" s="19" t="inlineStr">
        <is>
          <t>M3</t>
        </is>
      </c>
      <c r="E56" s="19" t="inlineStr">
        <is>
          <t>All</t>
        </is>
      </c>
      <c r="F56" s="19" t="n">
        <v>7</v>
      </c>
      <c r="G56" s="19" t="n">
        <v>7</v>
      </c>
      <c r="H56" s="19" t="n">
        <v>2</v>
      </c>
      <c r="I56" s="11" t="inlineStr">
        <is>
          <t>7.1</t>
        </is>
      </c>
      <c r="J56" s="10" t="inlineStr">
        <is>
          <t>Not started</t>
        </is>
      </c>
      <c r="K56" s="11">
        <f>IF(AND(1&gt;=$F56,1&lt;=$G56),$D56,"")</f>
        <v/>
      </c>
      <c r="L56" s="11">
        <f>IF(AND(2&gt;=$F56,2&lt;=$G56),$D56,"")</f>
        <v/>
      </c>
      <c r="M56" s="11">
        <f>IF(AND(3&gt;=$F56,3&lt;=$G56),$D56,"")</f>
        <v/>
      </c>
      <c r="N56" s="11">
        <f>IF(AND(4&gt;=$F56,4&lt;=$G56),$D56,"")</f>
        <v/>
      </c>
      <c r="O56" s="11">
        <f>IF(AND(5&gt;=$F56,5&lt;=$G56),$D56,"")</f>
        <v/>
      </c>
      <c r="P56" s="11">
        <f>IF(AND(6&gt;=$F56,6&lt;=$G56),$D56,"")</f>
        <v/>
      </c>
      <c r="Q56" s="11">
        <f>IF(AND(7&gt;=$F56,7&lt;=$G56),$D56,"")</f>
        <v/>
      </c>
    </row>
    <row r="57" ht="30" customHeight="1">
      <c r="A57" s="11" t="inlineStr">
        <is>
          <t>7.4</t>
        </is>
      </c>
      <c r="B57" s="11" t="inlineStr">
        <is>
          <t>Speaker split + script (see split below)</t>
        </is>
      </c>
      <c r="C57" s="11" t="inlineStr">
        <is>
          <t>Each speaker has a 1-page script and handover lines</t>
        </is>
      </c>
      <c r="D57" s="19" t="inlineStr">
        <is>
          <t>M1</t>
        </is>
      </c>
      <c r="E57" s="19" t="inlineStr">
        <is>
          <t>All</t>
        </is>
      </c>
      <c r="F57" s="19" t="n">
        <v>6</v>
      </c>
      <c r="G57" s="19" t="n">
        <v>6</v>
      </c>
      <c r="H57" s="19" t="n">
        <v>2</v>
      </c>
      <c r="I57" s="11" t="inlineStr">
        <is>
          <t>6.7</t>
        </is>
      </c>
      <c r="J57" s="10" t="inlineStr">
        <is>
          <t>Not started</t>
        </is>
      </c>
      <c r="K57" s="11">
        <f>IF(AND(1&gt;=$F57,1&lt;=$G57),$D57,"")</f>
        <v/>
      </c>
      <c r="L57" s="11">
        <f>IF(AND(2&gt;=$F57,2&lt;=$G57),$D57,"")</f>
        <v/>
      </c>
      <c r="M57" s="11">
        <f>IF(AND(3&gt;=$F57,3&lt;=$G57),$D57,"")</f>
        <v/>
      </c>
      <c r="N57" s="11">
        <f>IF(AND(4&gt;=$F57,4&lt;=$G57),$D57,"")</f>
        <v/>
      </c>
      <c r="O57" s="11">
        <f>IF(AND(5&gt;=$F57,5&lt;=$G57),$D57,"")</f>
        <v/>
      </c>
      <c r="P57" s="11">
        <f>IF(AND(6&gt;=$F57,6&lt;=$G57),$D57,"")</f>
        <v/>
      </c>
      <c r="Q57" s="11">
        <f>IF(AND(7&gt;=$F57,7&lt;=$G57),$D57,"")</f>
        <v/>
      </c>
    </row>
    <row r="58" ht="30" customHeight="1">
      <c r="A58" s="11" t="inlineStr">
        <is>
          <t>7.5</t>
        </is>
      </c>
      <c r="B58" s="11" t="inlineStr">
        <is>
          <t>Two timed mock presentations + Q&amp;A drill</t>
        </is>
      </c>
      <c r="C58" s="11" t="inlineStr">
        <is>
          <t>Within time limit, smooth handovers</t>
        </is>
      </c>
      <c r="D58" s="19" t="inlineStr">
        <is>
          <t>M1</t>
        </is>
      </c>
      <c r="E58" s="19" t="inlineStr">
        <is>
          <t>All</t>
        </is>
      </c>
      <c r="F58" s="19" t="n">
        <v>7</v>
      </c>
      <c r="G58" s="19" t="n">
        <v>7</v>
      </c>
      <c r="H58" s="19" t="n">
        <v>3</v>
      </c>
      <c r="I58" s="11" t="inlineStr">
        <is>
          <t>7.4</t>
        </is>
      </c>
      <c r="J58" s="10" t="inlineStr">
        <is>
          <t>Not started</t>
        </is>
      </c>
      <c r="K58" s="11">
        <f>IF(AND(1&gt;=$F58,1&lt;=$G58),$D58,"")</f>
        <v/>
      </c>
      <c r="L58" s="11">
        <f>IF(AND(2&gt;=$F58,2&lt;=$G58),$D58,"")</f>
        <v/>
      </c>
      <c r="M58" s="11">
        <f>IF(AND(3&gt;=$F58,3&lt;=$G58),$D58,"")</f>
        <v/>
      </c>
      <c r="N58" s="11">
        <f>IF(AND(4&gt;=$F58,4&lt;=$G58),$D58,"")</f>
        <v/>
      </c>
      <c r="O58" s="11">
        <f>IF(AND(5&gt;=$F58,5&lt;=$G58),$D58,"")</f>
        <v/>
      </c>
      <c r="P58" s="11">
        <f>IF(AND(6&gt;=$F58,6&lt;=$G58),$D58,"")</f>
        <v/>
      </c>
      <c r="Q58" s="11">
        <f>IF(AND(7&gt;=$F58,7&lt;=$G58),$D58,"")</f>
        <v/>
      </c>
    </row>
    <row r="59" ht="30" customHeight="1">
      <c r="A59" s="11" t="inlineStr">
        <is>
          <t>7.6</t>
        </is>
      </c>
      <c r="B59" s="11" t="inlineStr">
        <is>
          <t>Final proofread, export, submit early</t>
        </is>
      </c>
      <c r="C59" s="11" t="inlineStr">
        <is>
          <t>Submitted before deadline</t>
        </is>
      </c>
      <c r="D59" s="19" t="inlineStr">
        <is>
          <t>M1</t>
        </is>
      </c>
      <c r="E59" s="19" t="inlineStr">
        <is>
          <t>M2</t>
        </is>
      </c>
      <c r="F59" s="19" t="n">
        <v>7</v>
      </c>
      <c r="G59" s="19" t="n">
        <v>7</v>
      </c>
      <c r="H59" s="19" t="n">
        <v>1</v>
      </c>
      <c r="I59" s="11" t="inlineStr">
        <is>
          <t>7.5</t>
        </is>
      </c>
      <c r="J59" s="10" t="inlineStr">
        <is>
          <t>Not started</t>
        </is>
      </c>
      <c r="K59" s="11">
        <f>IF(AND(1&gt;=$F59,1&lt;=$G59),$D59,"")</f>
        <v/>
      </c>
      <c r="L59" s="11">
        <f>IF(AND(2&gt;=$F59,2&lt;=$G59),$D59,"")</f>
        <v/>
      </c>
      <c r="M59" s="11">
        <f>IF(AND(3&gt;=$F59,3&lt;=$G59),$D59,"")</f>
        <v/>
      </c>
      <c r="N59" s="11">
        <f>IF(AND(4&gt;=$F59,4&lt;=$G59),$D59,"")</f>
        <v/>
      </c>
      <c r="O59" s="11">
        <f>IF(AND(5&gt;=$F59,5&lt;=$G59),$D59,"")</f>
        <v/>
      </c>
      <c r="P59" s="11">
        <f>IF(AND(6&gt;=$F59,6&lt;=$G59),$D59,"")</f>
        <v/>
      </c>
      <c r="Q59" s="11">
        <f>IF(AND(7&gt;=$F59,7&lt;=$G59),$D59,"")</f>
        <v/>
      </c>
    </row>
    <row r="61">
      <c r="A61" s="3" t="inlineStr">
        <is>
          <t>Daily checkpoints (end of day)</t>
        </is>
      </c>
    </row>
    <row r="62">
      <c r="B62" s="2" t="inlineStr">
        <is>
          <t>D1: exhibits clean, issue tree agreed, rules confirmed</t>
        </is>
      </c>
    </row>
    <row r="63">
      <c r="B63" s="2" t="inlineStr">
        <is>
          <t>D2: gap heat map, root cause, vision draft, benchmarks started</t>
        </is>
      </c>
    </row>
    <row r="64">
      <c r="B64" s="2" t="inlineStr">
        <is>
          <t>D3: idea + pilot area LOCKED, system diagram, storyline skeleton</t>
        </is>
      </c>
    </row>
    <row r="65">
      <c r="B65" s="2" t="inlineStr">
        <is>
          <t>D4: day-in-the-life, mechanism, model updated, roadmap draft</t>
        </is>
      </c>
    </row>
    <row r="66">
      <c r="B66" s="2" t="inlineStr">
        <is>
          <t>D5: full draft deck, simulation re-run, red-team started</t>
        </is>
      </c>
    </row>
    <row r="67">
      <c r="B67" s="2" t="inlineStr">
        <is>
          <t>D6: exec summary, appendix, speaker script, design pass</t>
        </is>
      </c>
    </row>
    <row r="68">
      <c r="B68" s="2" t="inlineStr">
        <is>
          <t>D7: numbers tied out, Q&amp;A drilled, two mocks, submit early</t>
        </is>
      </c>
    </row>
    <row r="70">
      <c r="A70" s="3" t="inlineStr">
        <is>
          <t>Speaker split (adjust % to the official time limit)</t>
        </is>
      </c>
    </row>
    <row r="71">
      <c r="A71" s="8" t="inlineStr"/>
      <c r="B71" s="8" t="inlineStr">
        <is>
          <t>Section</t>
        </is>
      </c>
      <c r="C71" s="8" t="inlineStr">
        <is>
          <t>Speaker</t>
        </is>
      </c>
      <c r="D71" s="8" t="inlineStr">
        <is>
          <t>Share of time</t>
        </is>
      </c>
    </row>
    <row r="72">
      <c r="B72" s="11" t="inlineStr">
        <is>
          <t>Opening, situation, root cause, 2030 vision (SQ1)</t>
        </is>
      </c>
      <c r="C72" s="4" t="inlineStr">
        <is>
          <t>M1</t>
        </is>
      </c>
      <c r="D72" s="20" t="n">
        <v>0.25</v>
      </c>
    </row>
    <row r="73">
      <c r="B73" s="11" t="inlineStr">
        <is>
          <t>The idea, how it works, day in the life, mindset &amp; knowledge (SQ2)</t>
        </is>
      </c>
      <c r="C73" s="4" t="inlineStr">
        <is>
          <t>M2</t>
        </is>
      </c>
      <c r="D73" s="20" t="n">
        <v>0.3</v>
      </c>
    </row>
    <row r="74">
      <c r="B74" s="11" t="inlineStr">
        <is>
          <t>Roadmap, capability, risks (SQ3)</t>
        </is>
      </c>
      <c r="C74" s="4" t="inlineStr">
        <is>
          <t>M2</t>
        </is>
      </c>
      <c r="D74" s="20" t="n">
        <v>0.1</v>
      </c>
    </row>
    <row r="75">
      <c r="B75" s="11" t="inlineStr">
        <is>
          <t>Financial impact, simulation proof, KPIs (SQ4)</t>
        </is>
      </c>
      <c r="C75" s="4" t="inlineStr">
        <is>
          <t>M3</t>
        </is>
      </c>
      <c r="D75" s="20" t="n">
        <v>0.25</v>
      </c>
    </row>
    <row r="76">
      <c r="B76" s="11" t="inlineStr">
        <is>
          <t>Close and the decision we ask TMMIN to take</t>
        </is>
      </c>
      <c r="C76" s="4" t="inlineStr">
        <is>
          <t>M1</t>
        </is>
      </c>
      <c r="D76" s="20" t="n">
        <v>0.1</v>
      </c>
    </row>
    <row r="77">
      <c r="B77" s="3" t="inlineStr">
        <is>
          <t>Check (must be 100%)</t>
        </is>
      </c>
      <c r="D77" s="21">
        <f>SUM(D72:D76)</f>
        <v/>
      </c>
    </row>
    <row r="78">
      <c r="B78" s="2" t="inlineStr">
        <is>
          <t>Q&amp;A rule: the owner of the slide answers first; the lead routes questions and closes. Never two people talking at once.</t>
        </is>
      </c>
    </row>
  </sheetData>
  <conditionalFormatting sqref="K5:Q7">
    <cfRule type="cellIs" priority="1" operator="greaterThan" dxfId="0">
      <formula>6.5</formula>
    </cfRule>
    <cfRule type="cellIs" priority="2" operator="between" dxfId="1">
      <formula>5</formula>
      <formula>6.5</formula>
    </cfRule>
  </conditionalFormatting>
  <conditionalFormatting sqref="K13:Q59">
    <cfRule type="cellIs" priority="3" operator="equal" dxfId="2">
      <formula>"M1"</formula>
    </cfRule>
    <cfRule type="cellIs" priority="4" operator="equal" dxfId="3">
      <formula>"M2"</formula>
    </cfRule>
    <cfRule type="cellIs" priority="5" operator="equal" dxfId="4">
      <formula>"M3"</formula>
    </cfRule>
  </conditionalFormatting>
  <conditionalFormatting sqref="J13:J59">
    <cfRule type="cellIs" priority="6" operator="equal" dxfId="5">
      <formula>"Done"</formula>
    </cfRule>
  </conditionalFormatting>
  <dataValidations count="1">
    <dataValidation sqref="J13:J59" showDropDown="0" showInputMessage="0" showErrorMessage="0" allowBlank="1" type="list">
      <formula1>"Not started,In progress,Done,Blocked"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26" customWidth="1" min="1" max="1"/>
    <col width="30" customWidth="1" min="2" max="2"/>
    <col width="70" customWidth="1" min="3" max="3"/>
    <col width="26" customWidth="1" min="4" max="4"/>
    <col width="18" customWidth="1" min="5" max="5"/>
    <col width="34" customWidth="1" min="6" max="6"/>
  </cols>
  <sheetData>
    <row r="1">
      <c r="A1" s="1" t="inlineStr">
        <is>
          <t>How to answer each sub-question</t>
        </is>
      </c>
    </row>
    <row r="3">
      <c r="A3" s="8" t="inlineStr">
        <is>
          <t>Section</t>
        </is>
      </c>
      <c r="B3" s="8" t="inlineStr">
        <is>
          <t>What judges look for</t>
        </is>
      </c>
      <c r="C3" s="8" t="inlineStr">
        <is>
          <t>How to answer (steps)</t>
        </is>
      </c>
      <c r="D3" s="8" t="inlineStr">
        <is>
          <t>Data to use</t>
        </is>
      </c>
      <c r="E3" s="8" t="inlineStr">
        <is>
          <t>Model tab</t>
        </is>
      </c>
      <c r="F3" s="8" t="inlineStr">
        <is>
          <t>Traps to avoid</t>
        </is>
      </c>
    </row>
    <row r="4" ht="150" customHeight="1">
      <c r="A4" s="22" t="inlineStr">
        <is>
          <t>Executive summary (1 slide)</t>
        </is>
      </c>
      <c r="B4" s="23" t="inlineStr">
        <is>
          <t>One clear answer in 30 seconds: the idea, why now, impact, investment, ask.</t>
        </is>
      </c>
      <c r="C4" s="23" t="inlineStr">
        <is>
          <t>Write it LAST but draft it on Day 3. Situation (cost index 106 vs 89, multi-pathway coming) -&gt; Complication (open loops in quality, data, knowledge) -&gt; Answer (your one system) -&gt; Impact (NPV, index, months) -&gt; Roadmap headline.</t>
        </is>
      </c>
      <c r="D4" s="23" t="inlineStr">
        <is>
          <t>Exhibit 3, Dashboard</t>
        </is>
      </c>
      <c r="E4" s="23" t="inlineStr">
        <is>
          <t>Dashboard</t>
        </is>
      </c>
      <c r="F4" s="23" t="inlineStr">
        <is>
          <t>Listing 5 ideas; burying the number; no single name for the idea.</t>
        </is>
      </c>
    </row>
    <row r="5" ht="150" customHeight="1">
      <c r="A5" s="22" t="inlineStr">
        <is>
          <t>SQ1. Future manufacturing vision &amp; biggest gaps</t>
        </is>
      </c>
      <c r="B5" s="23" t="inlineStr">
        <is>
          <t>A vivid 2030 picture that goes BEYOND lower cost, and a prioritized, evidence-based gap.</t>
        </is>
      </c>
      <c r="C5" s="23" t="inlineStr">
        <is>
          <t>1) Write a 2030 vision statement (people + technology + flexibility). 2) Define 'new value' beyond cost: speed to launch variants, knowledge that compounds, engaged people. 3) Build a gap heat map: process (Exhibit 5) x impact on cost &amp; quality (Exhibit 4). 4) Show the gap is BETWEEN processes (integration, data, feedback). 5) Pick 1-2 priority gaps.</t>
        </is>
      </c>
      <c r="D5" s="23" t="inlineStr">
        <is>
          <t>Exhibits 3, 4, 5, 8</t>
        </is>
      </c>
      <c r="E5" s="23" t="inlineStr">
        <is>
          <t>Exhibits</t>
        </is>
      </c>
      <c r="F5" s="23" t="inlineStr">
        <is>
          <t>Vision that is just a list of technologies; ignoring that the case says the gap lies between processes.</t>
        </is>
      </c>
    </row>
    <row r="6" ht="150" customHeight="1">
      <c r="A6" s="22" t="inlineStr">
        <is>
          <t>SQ2. Transformative idea</t>
        </is>
      </c>
      <c r="B6" s="23" t="inlineStr">
        <is>
          <t>How manufacturing itself changes; people stay at the center; mindset shift; know-how becomes shared knowledge.</t>
        </is>
      </c>
      <c r="C6" s="23" t="inlineStr">
        <is>
          <t>1) Name the idea and show ONE system diagram. 2) Walk through a 'day in the life' of an operator and an engineer before vs after. 3) Explain the mindset shift (operate &amp; maintain -&gt; improve &amp; transform) and the mechanism that drives it (time freed, idea channel, recognition). 4) Show how know-how is captured, validated, reused. 5) Explain in-house vs partner logic. 6) Anchor every element in a TPS principle.</t>
        </is>
      </c>
      <c r="D6" s="23" t="inlineStr">
        <is>
          <t>Exhibits 6A, 6B, 7; Ideation tab</t>
        </is>
      </c>
      <c r="E6" s="23" t="inlineStr">
        <is>
          <t>Ideation</t>
        </is>
      </c>
      <c r="F6" s="23" t="inlineStr">
        <is>
          <t>Recommending a product/device; AI replacing people; no answer to the 31% who override alerts.</t>
        </is>
      </c>
    </row>
    <row r="7" ht="150" customHeight="1">
      <c r="A7" s="22" t="inlineStr">
        <is>
          <t>SQ3. Roadmap &amp; capability building</t>
        </is>
      </c>
      <c r="B7" s="23" t="inlineStr">
        <is>
          <t>Credible phasing 2026-2030 with pilot, standardization, rollout, talent, partners, risks.</t>
        </is>
      </c>
      <c r="C7" s="23" t="inlineStr">
        <is>
          <t>1) Phase 0 (Q4 2026): build on AI camera validation; choose pilot area; set data standard. 2) Pilot (2027) with go/no-go KPIs. 3) Standardize (2028). 4) Roll out (2029-30). 5) Talent: tiered academy moving engineers up Exhibit 7 levels, operator data training. 6) Partners only where they add distinctive value. 7) Risk register with mitigations.</t>
        </is>
      </c>
      <c r="D7" s="23" t="inlineStr">
        <is>
          <t>Exhibits 5, 6A, 7; Roadmap tab</t>
        </is>
      </c>
      <c r="E7" s="23" t="inlineStr">
        <is>
          <t>Roadmap, KPIs</t>
        </is>
      </c>
      <c r="F7" s="23" t="inlineStr">
        <is>
          <t>Everything starting in year 1; no gate criteria; no owner; ignoring training (18% trained).</t>
        </is>
      </c>
    </row>
    <row r="8" ht="150" customHeight="1">
      <c r="A8" s="22" t="inlineStr">
        <is>
          <t>SQ4. Competitive &amp; financial impact</t>
        </is>
      </c>
      <c r="B8" s="23" t="inlineStr">
        <is>
          <t>Impact on cost, quality, time, flexibility, capability; investment; KPIs. Numbers must be traceable.</t>
        </is>
      </c>
      <c r="C8" s="23" t="inlineStr">
        <is>
          <t>1) Bottom-up savings by lever (Model tab). 2) Investment inside Rp40-120B. 3) NPV at 10%, payback, IRR, 3 scenarios. 4) Break-even framing (Breakeven tab). 5) Translate to cost index vs benchmark. 6) Non-financial impact: months per variant, ramp-up time, ideas, skills. 7) KPI tree with baselines and targets.</t>
        </is>
      </c>
      <c r="D8" s="23" t="inlineStr">
        <is>
          <t>Exhibit 9, 3, 4; Model, Dashboard, Breakeven, KPIs</t>
        </is>
      </c>
      <c r="E8" s="23" t="inlineStr">
        <is>
          <t>Model, Dashboard</t>
        </is>
      </c>
      <c r="F8" s="23" t="inlineStr">
        <is>
          <t>Claiming 100% of the gap; ignoring running and training cost; no sensitivity; unlabeled assumptions.</t>
        </is>
      </c>
    </row>
    <row r="9" ht="150" customHeight="1">
      <c r="A9" s="22" t="inlineStr">
        <is>
          <t>Q&amp;A preparation</t>
        </is>
      </c>
      <c r="B9" s="23" t="inlineStr">
        <is>
          <t>Calm, data-backed answers; shows the team owns the logic.</t>
        </is>
      </c>
      <c r="C9" s="23" t="inlineStr">
        <is>
          <t>Prepare answers for: Why this pilot area? What if operators resist? Why in-house, not buy? What if the AI camera fails validation? How do you avoid job losses? What happens in the aggressive BEV scenario? Which assumption hurts NPV most? How does this differ from what Toyota Japan already does?</t>
        </is>
      </c>
      <c r="D9" s="23" t="inlineStr">
        <is>
          <t>All</t>
        </is>
      </c>
      <c r="E9" s="23" t="inlineStr">
        <is>
          <t>Breakeven (sensitivity)</t>
        </is>
      </c>
      <c r="F9" s="23" t="inlineStr">
        <is>
          <t>One person answering everything; arguing with judges.</t>
        </is>
      </c>
    </row>
    <row r="12">
      <c r="A12" s="3" t="inlineStr">
        <is>
          <t>Suggested deck storyline (fill [ ] with your numbers; titles must read as a story on their own)</t>
        </is>
      </c>
    </row>
    <row r="13">
      <c r="A13" s="8" t="inlineStr">
        <is>
          <t>#</t>
        </is>
      </c>
      <c r="B13" s="8" t="inlineStr">
        <is>
          <t>Slide</t>
        </is>
      </c>
      <c r="C13" s="8" t="inlineStr">
        <is>
          <t>Example action title / content</t>
        </is>
      </c>
      <c r="D13" s="8" t="inlineStr">
        <is>
          <t>Owner</t>
        </is>
      </c>
    </row>
    <row r="14">
      <c r="A14" s="22" t="inlineStr">
        <is>
          <t>1</t>
        </is>
      </c>
      <c r="B14" s="23" t="inlineStr">
        <is>
          <t>Title</t>
        </is>
      </c>
      <c r="C14" s="23" t="inlineStr">
        <is>
          <t>Idea name + one-line promise</t>
        </is>
      </c>
      <c r="D14" s="23" t="inlineStr">
        <is>
          <t>M1</t>
        </is>
      </c>
    </row>
    <row r="15">
      <c r="A15" s="22" t="inlineStr">
        <is>
          <t>2</t>
        </is>
      </c>
      <c r="B15" s="23" t="inlineStr">
        <is>
          <t>Executive summary</t>
        </is>
      </c>
      <c r="C15" s="23" t="inlineStr">
        <is>
          <t>TMMIN can close [x]% of its cost gap and cut variant changeover from 9 to [x] months by making the plant learn from itself</t>
        </is>
      </c>
      <c r="D15" s="23" t="inlineStr">
        <is>
          <t>M1</t>
        </is>
      </c>
    </row>
    <row r="16">
      <c r="A16" s="22" t="inlineStr">
        <is>
          <t>3</t>
        </is>
      </c>
      <c r="B16" s="23" t="inlineStr">
        <is>
          <t>Situation</t>
        </is>
      </c>
      <c r="C16" s="23" t="inlineStr">
        <is>
          <t>Market fell 7% while new players run [~19]% cheaper per unit</t>
        </is>
      </c>
      <c r="D16" s="23" t="inlineStr">
        <is>
          <t>M1</t>
        </is>
      </c>
    </row>
    <row r="17">
      <c r="A17" s="22" t="inlineStr">
        <is>
          <t>4</t>
        </is>
      </c>
      <c r="B17" s="23" t="inlineStr">
        <is>
          <t>Complication</t>
        </is>
      </c>
      <c r="C17" s="23" t="inlineStr">
        <is>
          <t>Multi-pathway mix lifts electrified share to [55-70]% by 2030, but every variant still costs ~9 months of rework</t>
        </is>
      </c>
      <c r="D17" s="23" t="inlineStr">
        <is>
          <t>M1</t>
        </is>
      </c>
    </row>
    <row r="18">
      <c r="A18" s="22" t="inlineStr">
        <is>
          <t>5</t>
        </is>
      </c>
      <c r="B18" s="23" t="inlineStr">
        <is>
          <t>Root cause</t>
        </is>
      </c>
      <c r="C18" s="23" t="inlineStr">
        <is>
          <t>The real gap sits between processes: quality, data and know-how loops are open</t>
        </is>
      </c>
      <c r="D18" s="23" t="inlineStr">
        <is>
          <t>M2</t>
        </is>
      </c>
    </row>
    <row r="19">
      <c r="A19" s="22" t="inlineStr">
        <is>
          <t>6</t>
        </is>
      </c>
      <c r="B19" s="23" t="inlineStr">
        <is>
          <t>2030 vision (SQ1)</t>
        </is>
      </c>
      <c r="C19" s="23" t="inlineStr">
        <is>
          <t>In 2030 TMMIN's advantage is a production system that learns, not one that is bought</t>
        </is>
      </c>
      <c r="D19" s="23" t="inlineStr">
        <is>
          <t>M1</t>
        </is>
      </c>
    </row>
    <row r="20">
      <c r="A20" s="22" t="inlineStr">
        <is>
          <t>7</t>
        </is>
      </c>
      <c r="B20" s="23" t="inlineStr">
        <is>
          <t>Gap prioritization (SQ1)</t>
        </is>
      </c>
      <c r="C20" s="23" t="inlineStr">
        <is>
          <t>[Pilot area] is where the open loops cost the most</t>
        </is>
      </c>
      <c r="D20" s="23" t="inlineStr">
        <is>
          <t>M2</t>
        </is>
      </c>
    </row>
    <row r="21">
      <c r="A21" s="22" t="inlineStr">
        <is>
          <t>8</t>
        </is>
      </c>
      <c r="B21" s="23" t="inlineStr">
        <is>
          <t>The idea (SQ2)</t>
        </is>
      </c>
      <c r="C21" s="23" t="inlineStr">
        <is>
          <t>[Idea name]: three closed loops with people at the center</t>
        </is>
      </c>
      <c r="D21" s="23" t="inlineStr">
        <is>
          <t>M2</t>
        </is>
      </c>
    </row>
    <row r="22">
      <c r="A22" s="22" t="inlineStr">
        <is>
          <t>9</t>
        </is>
      </c>
      <c r="B22" s="23" t="inlineStr">
        <is>
          <t>How it works (SQ2)</t>
        </is>
      </c>
      <c r="C22" s="23" t="inlineStr">
        <is>
          <t>A day in the life: operator and engineer before vs after</t>
        </is>
      </c>
      <c r="D22" s="23" t="inlineStr">
        <is>
          <t>M2</t>
        </is>
      </c>
    </row>
    <row r="23">
      <c r="A23" s="22" t="inlineStr">
        <is>
          <t>10</t>
        </is>
      </c>
      <c r="B23" s="23" t="inlineStr">
        <is>
          <t>Mindset &amp; knowledge (SQ2)</t>
        </is>
      </c>
      <c r="C23" s="23" t="inlineStr">
        <is>
          <t>Engineers move from firefighting to improving, and know-how leaves the heads of a few experts</t>
        </is>
      </c>
      <c r="D23" s="23" t="inlineStr">
        <is>
          <t>M1</t>
        </is>
      </c>
    </row>
    <row r="24">
      <c r="A24" s="22" t="inlineStr">
        <is>
          <t>11</t>
        </is>
      </c>
      <c r="B24" s="23" t="inlineStr">
        <is>
          <t>In-house vs partners (SQ2/3)</t>
        </is>
      </c>
      <c r="C24" s="23" t="inlineStr">
        <is>
          <t>Build what differentiates, partner where partners add distinctive value</t>
        </is>
      </c>
      <c r="D24" s="23" t="inlineStr">
        <is>
          <t>M2</t>
        </is>
      </c>
    </row>
    <row r="25">
      <c r="A25" s="22" t="inlineStr">
        <is>
          <t>12</t>
        </is>
      </c>
      <c r="B25" s="23" t="inlineStr">
        <is>
          <t>Roadmap (SQ3)</t>
        </is>
      </c>
      <c r="C25" s="23" t="inlineStr">
        <is>
          <t>Pilot in 2027, standardize in 2028, plant-wide by 2030 with clear gates</t>
        </is>
      </c>
      <c r="D25" s="23" t="inlineStr">
        <is>
          <t>M2</t>
        </is>
      </c>
    </row>
    <row r="26">
      <c r="A26" s="22" t="inlineStr">
        <is>
          <t>13</t>
        </is>
      </c>
      <c r="B26" s="23" t="inlineStr">
        <is>
          <t>Capability building (SQ3)</t>
        </is>
      </c>
      <c r="C26" s="23" t="inlineStr">
        <is>
          <t>[x] engineers reach Software &amp; AI level 3+ by 2030 through a tiered academy</t>
        </is>
      </c>
      <c r="D26" s="23" t="inlineStr">
        <is>
          <t>M3</t>
        </is>
      </c>
    </row>
    <row r="27">
      <c r="A27" s="22" t="inlineStr">
        <is>
          <t>14</t>
        </is>
      </c>
      <c r="B27" s="23" t="inlineStr">
        <is>
          <t>Financials (SQ4)</t>
        </is>
      </c>
      <c r="C27" s="23" t="inlineStr">
        <is>
          <t>Rp[x]B investment returns NPV of Rp[x]B; break-even needs only [x]% of the gap closed</t>
        </is>
      </c>
      <c r="D27" s="23" t="inlineStr">
        <is>
          <t>M3</t>
        </is>
      </c>
    </row>
    <row r="28">
      <c r="A28" s="22" t="inlineStr">
        <is>
          <t>15</t>
        </is>
      </c>
      <c r="B28" s="23" t="inlineStr">
        <is>
          <t>KPIs (SQ4)</t>
        </is>
      </c>
      <c r="C28" s="23" t="inlineStr">
        <is>
          <t>[x] KPIs track outcomes and the people/knowledge drivers behind them</t>
        </is>
      </c>
      <c r="D28" s="23" t="inlineStr">
        <is>
          <t>M3</t>
        </is>
      </c>
    </row>
    <row r="29">
      <c r="A29" s="22" t="inlineStr">
        <is>
          <t>16</t>
        </is>
      </c>
      <c r="B29" s="23" t="inlineStr">
        <is>
          <t>Risks</t>
        </is>
      </c>
      <c r="C29" s="23" t="inlineStr">
        <is>
          <t>Main risks are adoption and data quality, and each has a mitigation and an owner</t>
        </is>
      </c>
      <c r="D29" s="23" t="inlineStr">
        <is>
          <t>M1</t>
        </is>
      </c>
    </row>
    <row r="30">
      <c r="A30" s="22" t="inlineStr">
        <is>
          <t>17</t>
        </is>
      </c>
      <c r="B30" s="23" t="inlineStr">
        <is>
          <t>Close</t>
        </is>
      </c>
      <c r="C30" s="23" t="inlineStr">
        <is>
          <t>Recap + the decision you want TMMIN to take now</t>
        </is>
      </c>
      <c r="D30" s="23" t="inlineStr">
        <is>
          <t>M1</t>
        </is>
      </c>
    </row>
    <row r="31">
      <c r="A31" s="22" t="inlineStr">
        <is>
          <t>App.</t>
        </is>
      </c>
      <c r="B31" s="23" t="inlineStr">
        <is>
          <t>Appendix</t>
        </is>
      </c>
      <c r="C31" s="23" t="inlineStr">
        <is>
          <t>Assumptions list, sensitivity, alternatives considered (Ideation), exhibit re-type, methodology</t>
        </is>
      </c>
      <c r="D31" s="23" t="inlineStr">
        <is>
          <t>M3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7"/>
  <sheetViews>
    <sheetView workbookViewId="0">
      <selection activeCell="A1" sqref="A1"/>
    </sheetView>
  </sheetViews>
  <sheetFormatPr baseColWidth="8" defaultRowHeight="15"/>
  <cols>
    <col width="6" customWidth="1" min="1" max="1"/>
    <col width="28" customWidth="1" min="2" max="2"/>
    <col width="52" customWidth="1" min="3" max="3"/>
    <col width="36" customWidth="1" min="4" max="4"/>
    <col width="22" customWidth="1" min="5" max="5"/>
    <col width="32" customWidth="1" min="6" max="6"/>
    <col width="30" customWidth="1" min="7" max="7"/>
    <col width="30" customWidth="1" min="8" max="8"/>
    <col width="60" customWidth="1" min="9" max="9"/>
    <col width="10" customWidth="1" min="10" max="10"/>
  </cols>
  <sheetData>
    <row r="1">
      <c r="A1" s="1" t="inlineStr">
        <is>
          <t>Idea options: generate, compare, then combine into ONE system</t>
        </is>
      </c>
    </row>
    <row r="2">
      <c r="A2" s="3" t="inlineStr">
        <is>
          <t>Case rule: the answer must change HOW manufacturing works (process, ways of working, people, knowledge), not recommend a product or machine.</t>
        </is>
      </c>
    </row>
    <row r="4">
      <c r="A4" s="8" t="inlineStr">
        <is>
          <t>#</t>
        </is>
      </c>
      <c r="B4" s="8" t="inlineStr">
        <is>
          <t>Idea</t>
        </is>
      </c>
      <c r="C4" s="8" t="inlineStr">
        <is>
          <t>How manufacturing changes</t>
        </is>
      </c>
      <c r="D4" s="8" t="inlineStr">
        <is>
          <t>Case gaps it closes</t>
        </is>
      </c>
      <c r="E4" s="8" t="inlineStr">
        <is>
          <t>TPS anchor</t>
        </is>
      </c>
      <c r="F4" s="8" t="inlineStr">
        <is>
          <t>Public Toyota precedent</t>
        </is>
      </c>
      <c r="G4" s="8" t="inlineStr">
        <is>
          <t>Strength</t>
        </is>
      </c>
      <c r="H4" s="8" t="inlineStr">
        <is>
          <t>Risk / weakness</t>
        </is>
      </c>
      <c r="I4" s="8" t="inlineStr">
        <is>
          <t>References &amp; evidence (cite in deck)</t>
        </is>
      </c>
    </row>
    <row r="5" ht="150" customHeight="1">
      <c r="A5" s="22" t="inlineStr">
        <is>
          <t>A</t>
        </is>
      </c>
      <c r="B5" s="23" t="inlineStr">
        <is>
          <t>Closed-Loop Jidoka ("Self-Healing Line")</t>
        </is>
      </c>
      <c r="C5" s="23" t="inlineStr">
        <is>
          <t>Every abnormality detected anywhere (AI inspection, sensors, operator) is routed automatically to the upstream process that caused it, with a clear stop / correct / escalate rule. Operators confirm and fix; the line learns.</t>
        </is>
      </c>
      <c r="D5" s="23" t="inlineStr">
        <is>
          <t>Inspection L1, sealer with no feedback, defects found late, scrap up, 31% override alerts</t>
        </is>
      </c>
      <c r="E5" s="23" t="inlineStr">
        <is>
          <t>Jidoka, andon, built-in quality</t>
        </is>
      </c>
      <c r="F5" s="23" t="inlineStr">
        <is>
          <t>Toyota Japan uses worker-built AI models for adhesive-application inspection</t>
        </is>
      </c>
      <c r="G5" s="23" t="inlineStr">
        <is>
          <t>Strong cost + quality story; uses the Oct 2026 AI camera as a building block</t>
        </is>
      </c>
      <c r="H5" s="23" t="inlineStr">
        <is>
          <t>Needs data integration first; alert fatigue if poorly designed</t>
        </is>
      </c>
      <c r="I5" s="23" t="inlineStr">
        <is>
          <t>Google Cloud (2024) Toyota AI Platform: https://cloud.google.com/blog/topics/hybrid-cloud/toyota-ai-platform-manufacturing-efficiency
DigitalDefynd (2026) 10 ways Toyota uses AI: https://digitaldefynd.com/IQ/toyota-using-ai-case-study/
The Future Factory (2026) TPS in the age of AI: https://www.thefuturefactory.com/insights/toyota-production-system-age-of-ai
Own test: Simulation tab (closed-loop quality sim + Monte Carlo)</t>
        </is>
      </c>
    </row>
    <row r="6" ht="150" customHeight="1">
      <c r="A6" s="22" t="inlineStr">
        <is>
          <t>B</t>
        </is>
      </c>
      <c r="B6" s="23" t="inlineStr">
        <is>
          <t>Plug-and-Produce Plant Standard (in-house)</t>
        </is>
      </c>
      <c r="C6" s="23" t="inlineStr">
        <is>
          <t>TMMIN defines one common interface + data standard; every new or modified equipment plugs into it. In-house engineers build standard equipment and apps on top. Variant change becomes configuration, not rewiring.</t>
        </is>
      </c>
      <c r="D6" s="23" t="inlineStr">
        <is>
          <t>Point-to-point integration, 9-month modification, scattered data, costly closed external tech</t>
        </is>
      </c>
      <c r="E6" s="23" t="inlineStr">
        <is>
          <t>Standardized work applied to equipment; heijunka for mixed models</t>
        </is>
      </c>
      <c r="F6" s="23" t="inlineStr">
        <is>
          <t>Toyota insources equipment tech (self-propelled conveyance at Motomachi)</t>
        </is>
      </c>
      <c r="G6" s="23" t="inlineStr">
        <is>
          <t>Direct answer to multi-pathway flexibility and in-house capability</t>
        </is>
      </c>
      <c r="H6" s="23" t="inlineStr">
        <is>
          <t>Less emotional / people story on its own; standard-setting takes discipline</t>
        </is>
      </c>
      <c r="I6" s="23" t="inlineStr">
        <is>
          <t>Toyota (2023) Monozukuri tech, in-house self-propelled conveyance: https://global.toyota/en/newsroom/corporate/39758451.html
Toyota (2023) BEV production process, halve prep lead time &amp; investment: https://global.toyota/en/newsroom/corporate/39330500.html
Case: point-to-point integration, 9-month modification (Exhibits 4, 5)</t>
        </is>
      </c>
    </row>
    <row r="7" ht="150" customHeight="1">
      <c r="A7" s="22" t="inlineStr">
        <is>
          <t>C</t>
        </is>
      </c>
      <c r="B7" s="23" t="inlineStr">
        <is>
          <t>Citizen Kaizen AI Platform</t>
        </is>
      </c>
      <c r="C7" s="23" t="inlineStr">
        <is>
          <t>Team leaders and operators build simple AI / data tools themselves through a no-code platform, plus an easy idea channel with fast engineer support. Engineers become coaches and platform owners.</t>
        </is>
      </c>
      <c r="D7" s="23" t="inlineStr">
        <is>
          <t>Ideas down 3.1-&gt;2.4, implementation 35%-&gt;28%, 62% would contribute with an easy channel, 18% trained</t>
        </is>
      </c>
      <c r="E7" s="23" t="inlineStr">
        <is>
          <t>Kaizen, respect for people</t>
        </is>
      </c>
      <c r="F7" s="23" t="inlineStr">
        <is>
          <t>Toyota AI Platform: ~10,000 models built by factory staff, ~1,200 active users</t>
        </is>
      </c>
      <c r="G7" s="23" t="inlineStr">
        <is>
          <t>Most human-centered; scales kaizen; very Toyota</t>
        </is>
      </c>
      <c r="H7" s="23" t="inlineStr">
        <is>
          <t>Needs governance (model quality, safety); training load</t>
        </is>
      </c>
      <c r="I7" s="23" t="inlineStr">
        <is>
          <t>Google Cloud (2024) Toyota AI Platform: https://cloud.google.com/blog/topics/hybrid-cloud/toyota-ai-platform-manufacturing-efficiency
Chief AI Officer (2025) 10,000 models / 10,000 hrs: https://chiefaiofficer.com/blog/how-toyota-gave-ai-tools-to-factory-workers-and-saved-10000-hours/
Case Exhibit 6B: 62% would contribute ideas with an easy channel</t>
        </is>
      </c>
    </row>
    <row r="8" ht="150" customHeight="1">
      <c r="A8" s="22" t="inlineStr">
        <is>
          <t>D</t>
        </is>
      </c>
      <c r="B8" s="23" t="inlineStr">
        <is>
          <t>Shop-Floor O-Beya ("Digital Sensei")</t>
        </is>
      </c>
      <c r="C8" s="23" t="inlineStr">
        <is>
          <t>Capture senior experts' troubleshooting and process know-how into shared standards and an AI assistant that new engineers and team leaders consult. Experts validate content; it becomes living standard work.</t>
        </is>
      </c>
      <c r="D8" s="23" t="inlineStr">
        <is>
          <t>Know-how with 1-2 seniors, low documentation, 15-month ramp-up, engineers stuck firefighting</t>
        </is>
      </c>
      <c r="E8" s="23" t="inlineStr">
        <is>
          <t>Yokoten (horizontal deployment), standardized work, hansei</t>
        </is>
      </c>
      <c r="F8" s="23" t="inlineStr">
        <is>
          <t>Toyota O-Beya: 9 AI agents for ~800 powertrain engineers</t>
        </is>
      </c>
      <c r="G8" s="23" t="inlineStr">
        <is>
          <t>Cheap, fast to pilot, addresses knowledge and talent directly</t>
        </is>
      </c>
      <c r="H8" s="23" t="inlineStr">
        <is>
          <t>Weaker direct cost impact; content quality depends on seniors' time</t>
        </is>
      </c>
      <c r="I8" s="23" t="inlineStr">
        <is>
          <t>Microsoft Source Asia (2024) O-Beya: https://news.microsoft.com/source/asia/features/toyota-is-deploying-ai-agents-to-harness-the-collective-wisdom-of-engineers-and-innovate-faster/
ABI Research (2025) O-Beya knowledge mgmt: https://www.abiresearch.com/market-research/insight/7786905-toyotas-o-beya-provides-best-practices-for
Aicadium (2026) Lean to AI, GAIA + 100-course academy: https://aicadium.ai/lean-to-ai-what-toyotas-transformation-looks-like-today/
Case Exhibit 6A: know-how with 1-2 seniors, 15-month ramp-up</t>
        </is>
      </c>
    </row>
    <row r="9" ht="150" customHeight="1">
      <c r="A9" s="22" t="inlineStr">
        <is>
          <t>E</t>
        </is>
      </c>
      <c r="B9" s="23" t="inlineStr">
        <is>
          <t>Simulation-First Production Preparation</t>
        </is>
      </c>
      <c r="C9" s="23" t="inlineStr">
        <is>
          <t>Every new variant / pathway is designed, balanced and debugged in a digital model of the line before physical change. Engineers own the models.</t>
        </is>
      </c>
      <c r="D9" s="23" t="inlineStr">
        <is>
          <t>9-month modification, multi-pathway mix uncertainty (Exhibit 8)</t>
        </is>
      </c>
      <c r="E9" s="23" t="inlineStr">
        <is>
          <t>Genchi genbutsu supported by virtual verification; PDCA</t>
        </is>
      </c>
      <c r="F9" s="23" t="inlineStr">
        <is>
          <t>Toyota digital process verification for next-gen BEV plants (aim: halve prep lead time)</t>
        </is>
      </c>
      <c r="G9" s="23" t="inlineStr">
        <is>
          <t>Strong flexibility + time-to-market story; fits IE skills</t>
        </is>
      </c>
      <c r="H9" s="23" t="inlineStr">
        <is>
          <t>Needs reliable data; model upkeep cost</t>
        </is>
      </c>
      <c r="I9" s="23" t="inlineStr">
        <is>
          <t>Toyota (2023) BEV production process, halve prep lead time &amp; investment: https://global.toyota/en/newsroom/corporate/39330500.html
Case Exhibit 8: electrified share 30% -&gt; 55-70%</t>
        </is>
      </c>
    </row>
    <row r="10" ht="150" customHeight="1">
      <c r="A10" s="22" t="inlineStr">
        <is>
          <t>F</t>
        </is>
      </c>
      <c r="B10" s="23" t="inlineStr">
        <is>
          <t>Conveyor-Light Flexible Line + Synchronized Intralogistics</t>
        </is>
      </c>
      <c r="C10" s="23" t="inlineStr">
        <is>
          <t>Redesign flow around mobile automation (AMR/AGV, self-propelled concepts) so layout and sequence adapt to the variant mix; material flow synced with production signals.</t>
        </is>
      </c>
      <c r="D10" s="23" t="inlineStr">
        <is>
          <t>Manual forklifts/dollies, flow not synchronized, NVA 22%</t>
        </is>
      </c>
      <c r="E10" s="23" t="inlineStr">
        <is>
          <t>JIT, kanban, heijunka</t>
        </is>
      </c>
      <c r="F10" s="23" t="inlineStr">
        <is>
          <t>Toyota self-propelled assembly line trials</t>
        </is>
      </c>
      <c r="G10" s="23" t="inlineStr">
        <is>
          <t>Big flexibility upside, visually impressive</t>
        </is>
      </c>
      <c r="H10" s="23" t="inlineStr">
        <is>
          <t>Capex heavy, risks reading as equipment recommendation</t>
        </is>
      </c>
      <c r="I10" s="23" t="inlineStr">
        <is>
          <t>Assembly Magazine (2023) self-propelled lines: https://www.assemblymag.com/articles/98199-toyota-outlines-future-production-processes
Toyota (2023) Monozukuri tech, in-house self-propelled conveyance: https://global.toyota/en/newsroom/corporate/39758451.html</t>
        </is>
      </c>
    </row>
    <row r="11" ht="150" customHeight="1">
      <c r="A11" s="22" t="inlineStr">
        <is>
          <t>G</t>
        </is>
      </c>
      <c r="B11" s="23" t="inlineStr">
        <is>
          <t>AI-Enabled Autonomous Maintenance (TPM 2.0)</t>
        </is>
      </c>
      <c r="C11" s="23" t="inlineStr">
        <is>
          <t>Operators and maintenance jointly own equipment health using condition data; predictive alerts with operator-led first response.</t>
        </is>
      </c>
      <c r="D11" s="23" t="inlineStr">
        <is>
          <t>Periodic preventive only, rising unplanned downtime</t>
        </is>
      </c>
      <c r="E11" s="23" t="inlineStr">
        <is>
          <t>TPM, jidoka</t>
        </is>
      </c>
      <c r="F11" s="23" t="inlineStr">
        <is>
          <t>Toyota AI Platform used for injection-moulding abnormality detection</t>
        </is>
      </c>
      <c r="G11" s="23" t="inlineStr">
        <is>
          <t>Clear downtime savings, practical</t>
        </is>
      </c>
      <c r="H11" s="23" t="inlineStr">
        <is>
          <t>Narrower scope; many competitors will propose it</t>
        </is>
      </c>
      <c r="I11" s="23" t="inlineStr">
        <is>
          <t>Google Cloud (2024) Toyota AI Platform: https://cloud.google.com/blog/topics/hybrid-cloud/toyota-ai-platform-manufacturing-efficiency
Logistics Viewpoints (2025) People + AI: https://logisticsviewpoints.com/2025/06/05/people-ai-augmenting-the-supply-chain-workforce/</t>
        </is>
      </c>
    </row>
    <row r="12" ht="150" customHeight="1">
      <c r="A12" s="22" t="inlineStr">
        <is>
          <t>H</t>
        </is>
      </c>
      <c r="B12" s="23" t="inlineStr">
        <is>
          <t>INTEGRATED: Closed-Loop Production System (A+B+C+D)</t>
        </is>
      </c>
      <c r="C12" s="23" t="inlineStr">
        <is>
          <t>One operating system with three loops: quality loop (A), data/equipment loop (B), people &amp; knowledge loop (C+D). Piloted in one area, standardized, then rolled out plant-wide.</t>
        </is>
      </c>
      <c r="D12" s="23" t="inlineStr">
        <is>
          <t>Attacks all three complications at once</t>
        </is>
      </c>
      <c r="E12" s="23" t="inlineStr">
        <is>
          <t>Jidoka + kaizen + standardization, in the digital era</t>
        </is>
      </c>
      <c r="F12" s="23" t="inlineStr">
        <is>
          <t>Combines the Toyota precedents above</t>
        </is>
      </c>
      <c r="G12" s="23" t="inlineStr">
        <is>
          <t>Best answer to 'system not product'; one memorable idea</t>
        </is>
      </c>
      <c r="H12" s="23" t="inlineStr">
        <is>
          <t>Complex to explain: needs one clean diagram and one pilot</t>
        </is>
      </c>
      <c r="I12" s="23" t="inlineStr">
        <is>
          <t>Google Cloud (2024) Toyota AI Platform: https://cloud.google.com/blog/topics/hybrid-cloud/toyota-ai-platform-manufacturing-efficiency
Microsoft Source Asia (2024) O-Beya: https://news.microsoft.com/source/asia/features/toyota-is-deploying-ai-agents-to-harness-the-collective-wisdom-of-engineers-and-innovate-faster/
Toyota (2023) Monozukuri tech, in-house self-propelled conveyance: https://global.toyota/en/newsroom/corporate/39758451.html
Aicadium (2026) Lean to AI, GAIA + 100-course academy: https://aicadium.ai/lean-to-ai-what-toyotas-transformation-looks-like-today/
Own test: Simulation tab (closed-loop quality sim + Monte Carlo)</t>
        </is>
      </c>
    </row>
    <row r="15">
      <c r="A15" s="3" t="inlineStr">
        <is>
          <t>Scoring matrix (scores 1-5 are suggestions: re-score as a team on Day 3)</t>
        </is>
      </c>
    </row>
    <row r="16">
      <c r="A16" s="8" t="inlineStr">
        <is>
          <t>#</t>
        </is>
      </c>
      <c r="B16" s="8" t="inlineStr">
        <is>
          <t>Idea</t>
        </is>
      </c>
      <c r="C16" s="8" t="inlineStr">
        <is>
          <t>Cost &amp; quality impact</t>
        </is>
      </c>
      <c r="D16" s="8" t="inlineStr">
        <is>
          <t>Multi-pathway flexibility</t>
        </is>
      </c>
      <c r="E16" s="8" t="inlineStr">
        <is>
          <t>People at the center / knowledge</t>
        </is>
      </c>
      <c r="F16" s="8" t="inlineStr">
        <is>
          <t>Hard to buy off the shelf (in-house value)</t>
        </is>
      </c>
      <c r="G16" s="8" t="inlineStr">
        <is>
          <t>Feasible in Rp40-120B by 2030</t>
        </is>
      </c>
      <c r="H16" s="8" t="inlineStr">
        <is>
          <t>Fits case ask: system, not product</t>
        </is>
      </c>
      <c r="I16" s="8" t="inlineStr">
        <is>
          <t>Weighted score</t>
        </is>
      </c>
      <c r="J16" s="8" t="inlineStr">
        <is>
          <t>Rank</t>
        </is>
      </c>
    </row>
    <row r="17">
      <c r="B17" s="3" t="inlineStr">
        <is>
          <t>Weight</t>
        </is>
      </c>
      <c r="C17" s="24" t="n">
        <v>0.25</v>
      </c>
      <c r="D17" s="24" t="n">
        <v>0.15</v>
      </c>
      <c r="E17" s="24" t="n">
        <v>0.2</v>
      </c>
      <c r="F17" s="24" t="n">
        <v>0.15</v>
      </c>
      <c r="G17" s="24" t="n">
        <v>0.15</v>
      </c>
      <c r="H17" s="24" t="n">
        <v>0.1</v>
      </c>
      <c r="I17" s="21">
        <f>SUM(C17:H17)</f>
        <v/>
      </c>
    </row>
    <row r="18">
      <c r="A18" s="3" t="inlineStr">
        <is>
          <t>A</t>
        </is>
      </c>
      <c r="B18" s="11" t="inlineStr">
        <is>
          <t>Closed-Loop Jidoka ("Self-Healing Line")</t>
        </is>
      </c>
      <c r="C18" s="25" t="n">
        <v>5</v>
      </c>
      <c r="D18" s="25" t="n">
        <v>3</v>
      </c>
      <c r="E18" s="25" t="n">
        <v>4</v>
      </c>
      <c r="F18" s="25" t="n">
        <v>4</v>
      </c>
      <c r="G18" s="25" t="n">
        <v>4</v>
      </c>
      <c r="H18" s="25" t="n">
        <v>5</v>
      </c>
      <c r="I18" s="26">
        <f>SUMPRODUCT($C$17:$H$17,C18:H18)</f>
        <v/>
      </c>
      <c r="J18" s="2">
        <f>RANK(I18,$I$18:$I$25)</f>
        <v/>
      </c>
    </row>
    <row r="19">
      <c r="A19" s="3" t="inlineStr">
        <is>
          <t>B</t>
        </is>
      </c>
      <c r="B19" s="11" t="inlineStr">
        <is>
          <t>Plug-and-Produce Plant Standard (in-house)</t>
        </is>
      </c>
      <c r="C19" s="25" t="n">
        <v>3</v>
      </c>
      <c r="D19" s="25" t="n">
        <v>5</v>
      </c>
      <c r="E19" s="25" t="n">
        <v>3</v>
      </c>
      <c r="F19" s="25" t="n">
        <v>5</v>
      </c>
      <c r="G19" s="25" t="n">
        <v>3</v>
      </c>
      <c r="H19" s="25" t="n">
        <v>5</v>
      </c>
      <c r="I19" s="26">
        <f>SUMPRODUCT($C$17:$H$17,C19:H19)</f>
        <v/>
      </c>
      <c r="J19" s="2">
        <f>RANK(I19,$I$18:$I$25)</f>
        <v/>
      </c>
    </row>
    <row r="20">
      <c r="A20" s="3" t="inlineStr">
        <is>
          <t>C</t>
        </is>
      </c>
      <c r="B20" s="11" t="inlineStr">
        <is>
          <t>Citizen Kaizen AI Platform</t>
        </is>
      </c>
      <c r="C20" s="25" t="n">
        <v>4</v>
      </c>
      <c r="D20" s="25" t="n">
        <v>3</v>
      </c>
      <c r="E20" s="25" t="n">
        <v>5</v>
      </c>
      <c r="F20" s="25" t="n">
        <v>5</v>
      </c>
      <c r="G20" s="25" t="n">
        <v>4</v>
      </c>
      <c r="H20" s="25" t="n">
        <v>4</v>
      </c>
      <c r="I20" s="26">
        <f>SUMPRODUCT($C$17:$H$17,C20:H20)</f>
        <v/>
      </c>
      <c r="J20" s="2">
        <f>RANK(I20,$I$18:$I$25)</f>
        <v/>
      </c>
    </row>
    <row r="21">
      <c r="A21" s="3" t="inlineStr">
        <is>
          <t>D</t>
        </is>
      </c>
      <c r="B21" s="11" t="inlineStr">
        <is>
          <t>Shop-Floor O-Beya ("Digital Sensei")</t>
        </is>
      </c>
      <c r="C21" s="25" t="n">
        <v>2</v>
      </c>
      <c r="D21" s="25" t="n">
        <v>3</v>
      </c>
      <c r="E21" s="25" t="n">
        <v>5</v>
      </c>
      <c r="F21" s="25" t="n">
        <v>4</v>
      </c>
      <c r="G21" s="25" t="n">
        <v>5</v>
      </c>
      <c r="H21" s="25" t="n">
        <v>4</v>
      </c>
      <c r="I21" s="26">
        <f>SUMPRODUCT($C$17:$H$17,C21:H21)</f>
        <v/>
      </c>
      <c r="J21" s="2">
        <f>RANK(I21,$I$18:$I$25)</f>
        <v/>
      </c>
    </row>
    <row r="22">
      <c r="A22" s="3" t="inlineStr">
        <is>
          <t>E</t>
        </is>
      </c>
      <c r="B22" s="11" t="inlineStr">
        <is>
          <t>Simulation-First Production Preparation</t>
        </is>
      </c>
      <c r="C22" s="25" t="n">
        <v>3</v>
      </c>
      <c r="D22" s="25" t="n">
        <v>5</v>
      </c>
      <c r="E22" s="25" t="n">
        <v>3</v>
      </c>
      <c r="F22" s="25" t="n">
        <v>4</v>
      </c>
      <c r="G22" s="25" t="n">
        <v>4</v>
      </c>
      <c r="H22" s="25" t="n">
        <v>4</v>
      </c>
      <c r="I22" s="26">
        <f>SUMPRODUCT($C$17:$H$17,C22:H22)</f>
        <v/>
      </c>
      <c r="J22" s="2">
        <f>RANK(I22,$I$18:$I$25)</f>
        <v/>
      </c>
    </row>
    <row r="23">
      <c r="A23" s="3" t="inlineStr">
        <is>
          <t>F</t>
        </is>
      </c>
      <c r="B23" s="11" t="inlineStr">
        <is>
          <t>Conveyor-Light Flexible Line + Synchronized Intralogistics</t>
        </is>
      </c>
      <c r="C23" s="25" t="n">
        <v>3</v>
      </c>
      <c r="D23" s="25" t="n">
        <v>5</v>
      </c>
      <c r="E23" s="25" t="n">
        <v>2</v>
      </c>
      <c r="F23" s="25" t="n">
        <v>2</v>
      </c>
      <c r="G23" s="25" t="n">
        <v>2</v>
      </c>
      <c r="H23" s="25" t="n">
        <v>2</v>
      </c>
      <c r="I23" s="26">
        <f>SUMPRODUCT($C$17:$H$17,C23:H23)</f>
        <v/>
      </c>
      <c r="J23" s="2">
        <f>RANK(I23,$I$18:$I$25)</f>
        <v/>
      </c>
    </row>
    <row r="24">
      <c r="A24" s="3" t="inlineStr">
        <is>
          <t>G</t>
        </is>
      </c>
      <c r="B24" s="11" t="inlineStr">
        <is>
          <t>AI-Enabled Autonomous Maintenance (TPM 2.0)</t>
        </is>
      </c>
      <c r="C24" s="25" t="n">
        <v>4</v>
      </c>
      <c r="D24" s="25" t="n">
        <v>2</v>
      </c>
      <c r="E24" s="25" t="n">
        <v>4</v>
      </c>
      <c r="F24" s="25" t="n">
        <v>3</v>
      </c>
      <c r="G24" s="25" t="n">
        <v>4</v>
      </c>
      <c r="H24" s="25" t="n">
        <v>3</v>
      </c>
      <c r="I24" s="26">
        <f>SUMPRODUCT($C$17:$H$17,C24:H24)</f>
        <v/>
      </c>
      <c r="J24" s="2">
        <f>RANK(I24,$I$18:$I$25)</f>
        <v/>
      </c>
    </row>
    <row r="25">
      <c r="A25" s="3" t="inlineStr">
        <is>
          <t>H</t>
        </is>
      </c>
      <c r="B25" s="11" t="inlineStr">
        <is>
          <t>INTEGRATED: Closed-Loop Production System (A+B+C+D)</t>
        </is>
      </c>
      <c r="C25" s="25" t="n">
        <v>5</v>
      </c>
      <c r="D25" s="25" t="n">
        <v>4</v>
      </c>
      <c r="E25" s="25" t="n">
        <v>5</v>
      </c>
      <c r="F25" s="25" t="n">
        <v>5</v>
      </c>
      <c r="G25" s="25" t="n">
        <v>3</v>
      </c>
      <c r="H25" s="25" t="n">
        <v>5</v>
      </c>
      <c r="I25" s="26">
        <f>SUMPRODUCT($C$17:$H$17,C25:H25)</f>
        <v/>
      </c>
      <c r="J25" s="2">
        <f>RANK(I25,$I$18:$I$25)</f>
        <v/>
      </c>
    </row>
    <row r="27">
      <c r="A27" s="3" t="inlineStr">
        <is>
          <t>Tip: the winning pitch is usually one integrated idea (like H) explained through one pilot. Use the lower-ranked options as 'considered and rejected' in the appendix to show rigor.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4"/>
  <sheetViews>
    <sheetView workbookViewId="0">
      <selection activeCell="A1" sqref="A1"/>
    </sheetView>
  </sheetViews>
  <sheetFormatPr baseColWidth="8" defaultRowHeight="15"/>
  <cols>
    <col width="62" customWidth="1" min="1" max="1"/>
    <col width="18" customWidth="1" min="2" max="2"/>
    <col width="18" customWidth="1" min="3" max="3"/>
    <col width="18" customWidth="1" min="4" max="4"/>
    <col width="20" customWidth="1" min="5" max="5"/>
    <col width="14" customWidth="1" min="6" max="6"/>
    <col width="14" customWidth="1" min="7" max="7"/>
    <col width="16" customWidth="1" min="8" max="8"/>
  </cols>
  <sheetData>
    <row r="1">
      <c r="A1" s="1" t="inlineStr">
        <is>
          <t>Idea tests: simulation results (values produced by run_tests.py, not formulas)</t>
        </is>
      </c>
    </row>
    <row r="2">
      <c r="A2" s="54" t="inlineStr">
        <is>
          <t>Re-run run_tests.py after changing assumptions. Process parameters below are illustrative assumptions, not TMMIN data: present them as a mechanism test, and show the sensitivity.</t>
        </is>
      </c>
    </row>
    <row r="4">
      <c r="A4" s="3" t="inlineStr">
        <is>
          <t>TEST 1. Does closing the quality loop beat adding technology alone? (sealer drift -&gt; inspection -&gt; feedback, 1 year, 175,000 units, 300 runs)</t>
        </is>
      </c>
    </row>
    <row r="5">
      <c r="A5" s="55" t="inlineStr">
        <is>
          <t>Scenario</t>
        </is>
      </c>
      <c r="B5" s="55" t="inlineStr">
        <is>
          <t>Defective units / yr</t>
        </is>
      </c>
      <c r="C5" s="55" t="inlineStr">
        <is>
          <t>Scrapped units / yr</t>
        </is>
      </c>
      <c r="D5" s="55" t="inlineStr">
        <is>
          <t>Escaped defects / yr</t>
        </is>
      </c>
      <c r="E5" s="55" t="inlineStr">
        <is>
          <t>Units built while drifting</t>
        </is>
      </c>
      <c r="F5" s="55" t="inlineStr">
        <is>
          <t>Scrap vs today</t>
        </is>
      </c>
      <c r="G5" s="55" t="inlineStr">
        <is>
          <t>Escapes vs today</t>
        </is>
      </c>
      <c r="H5" s="55" t="inlineStr">
        <is>
          <t>Scrap P5-P95</t>
        </is>
      </c>
    </row>
    <row r="6">
      <c r="A6" s="56" t="inlineStr">
        <is>
          <t>1. Today: visual at final inspection, manual feedback</t>
        </is>
      </c>
      <c r="B6" s="57" t="n">
        <v>4266.68</v>
      </c>
      <c r="C6" s="57" t="n">
        <v>1088.524</v>
      </c>
      <c r="D6" s="57" t="n">
        <v>638.2666666666667</v>
      </c>
      <c r="E6" s="57" t="n">
        <v>15796.09333333333</v>
      </c>
      <c r="F6" s="58" t="n">
        <v>-0</v>
      </c>
      <c r="G6" s="58" t="n">
        <v>-0</v>
      </c>
      <c r="H6" s="57" t="inlineStr">
        <is>
          <t>835 - 1,365</t>
        </is>
      </c>
    </row>
    <row r="7">
      <c r="A7" s="56" t="inlineStr">
        <is>
          <t>2. Better camera at end-of-line only (tech, no loop)</t>
        </is>
      </c>
      <c r="B7" s="57" t="n">
        <v>4265.323333333334</v>
      </c>
      <c r="C7" s="57" t="n">
        <v>1215.776</v>
      </c>
      <c r="D7" s="57" t="n">
        <v>212.7366666666667</v>
      </c>
      <c r="E7" s="57" t="n">
        <v>15793.25666666667</v>
      </c>
      <c r="F7" s="58" t="n">
        <v>0.1169032561523677</v>
      </c>
      <c r="G7" s="58" t="n">
        <v>-0.6666962607060789</v>
      </c>
      <c r="H7" s="57" t="inlineStr">
        <is>
          <t>910 - 1,492</t>
        </is>
      </c>
    </row>
    <row r="8">
      <c r="A8" s="56" t="inlineStr">
        <is>
          <t>3. Closed loop at sealer, 31% of alerts dismissed (as today)</t>
        </is>
      </c>
      <c r="B8" s="57" t="n">
        <v>1652.95</v>
      </c>
      <c r="C8" s="57" t="n">
        <v>362.1536666666667</v>
      </c>
      <c r="D8" s="57" t="n">
        <v>203.26</v>
      </c>
      <c r="E8" s="57" t="n">
        <v>5247.72</v>
      </c>
      <c r="F8" s="58" t="n">
        <v>-0.6672984089770491</v>
      </c>
      <c r="G8" s="58" t="n">
        <v>-0.6815437643618132</v>
      </c>
      <c r="H8" s="57" t="inlineStr">
        <is>
          <t>216 - 543</t>
        </is>
      </c>
    </row>
    <row r="9">
      <c r="A9" s="59" t="inlineStr">
        <is>
          <t>4. Closed loop with people-centred design (10% dismissed)</t>
        </is>
      </c>
      <c r="B9" s="60" t="n">
        <v>908.3233333333334</v>
      </c>
      <c r="C9" s="60" t="n">
        <v>166.8633333333333</v>
      </c>
      <c r="D9" s="60" t="n">
        <v>88.00666666666666</v>
      </c>
      <c r="E9" s="60" t="n">
        <v>2257.006666666667</v>
      </c>
      <c r="F9" s="61" t="n">
        <v>-0.8467067943992661</v>
      </c>
      <c r="G9" s="61" t="n">
        <v>-0.862116147900564</v>
      </c>
      <c r="H9" s="60" t="inlineStr">
        <is>
          <t>83 - 270</t>
        </is>
      </c>
    </row>
    <row r="11">
      <c r="A11" s="3" t="inlineStr">
        <is>
          <t>What this shows</t>
        </is>
      </c>
    </row>
    <row r="12" ht="28" customHeight="1">
      <c r="A12" s="62" t="inlineStr">
        <is>
          <t>- A better camera at end-of-line alone changes scrap by +12% while escapes fall 67%: it catches more bad units, but too late, so escapes turn into scrap. It does not prevent defects.</t>
        </is>
      </c>
    </row>
    <row r="13" ht="28" customHeight="1">
      <c r="A13" s="62" t="inlineStr">
        <is>
          <t>- Closing the loop right after the sealer cuts scrap 85% and escapes 86%, because a drift is stopped within a few units instead of hundreds.</t>
        </is>
      </c>
    </row>
    <row r="14" ht="28" customHeight="1">
      <c r="A14" s="62" t="inlineStr">
        <is>
          <t>- If operators dismiss alerts in 31% of drift episodes (today's override rate), scrap reduction falls to 67%. Trust, training and alert design are part of the value, not an add-on.</t>
        </is>
      </c>
    </row>
    <row r="15" ht="28" customHeight="1">
      <c r="A15" s="62" t="inlineStr">
        <is>
          <t>- Plant-wide: if the pilot scope causes 40% of plant scrap (team assumption), the plant-wide scrap cut is about 34%. Compare with the 20% / 35% / 50% lever in Assumptions.</t>
        </is>
      </c>
    </row>
    <row r="16" ht="28" customHeight="1">
      <c r="A16" s="62" t="inlineStr">
        <is>
          <t>- Deck message: value comes from redesigning the system (where the check sits, how fast the signal travels, who acts on it), not from buying the device. That is exactly the case ask.</t>
        </is>
      </c>
    </row>
    <row r="18">
      <c r="A18" s="3" t="inlineStr">
        <is>
          <t>Process assumptions used (illustrative, change and re-run)</t>
        </is>
      </c>
    </row>
    <row r="19">
      <c r="A19" s="54" t="inlineStr">
        <is>
          <t>Defect probability per unit, stable sealer</t>
        </is>
      </c>
      <c r="B19" s="20" t="n">
        <v>0.002</v>
      </c>
    </row>
    <row r="20">
      <c r="A20" s="54" t="inlineStr">
        <is>
          <t>Average units between drift events</t>
        </is>
      </c>
      <c r="B20" s="63" t="n">
        <v>5000</v>
      </c>
    </row>
    <row r="21">
      <c r="A21" s="54" t="inlineStr">
        <is>
          <t>Defect probability per unit while drifting</t>
        </is>
      </c>
      <c r="B21" s="20" t="n">
        <v>0.25</v>
      </c>
    </row>
    <row r="22">
      <c r="A22" s="54" t="inlineStr">
        <is>
          <t>Manual visual detection rate at final inspection</t>
        </is>
      </c>
      <c r="B22" s="20" t="n">
        <v>0.85</v>
      </c>
    </row>
    <row r="23">
      <c r="A23" s="54" t="inlineStr">
        <is>
          <t>Share of sealer defect modes the in-line AI camera can see</t>
        </is>
      </c>
      <c r="B23" s="20" t="n">
        <v>0.7</v>
      </c>
    </row>
    <row r="24">
      <c r="A24" s="54" t="inlineStr">
        <is>
          <t>Units between sealer and today's final inspection</t>
        </is>
      </c>
      <c r="B24" s="63" t="n">
        <v>300</v>
      </c>
    </row>
    <row r="25">
      <c r="A25" s="54" t="inlineStr">
        <is>
          <t>Units built before manual feedback reaches the sealer</t>
        </is>
      </c>
      <c r="B25" s="63" t="n">
        <v>150</v>
      </c>
    </row>
    <row r="26">
      <c r="A26" s="54" t="inlineStr">
        <is>
          <t>Share of late-found defects scrapped</t>
        </is>
      </c>
      <c r="B26" s="20" t="n">
        <v>0.3</v>
      </c>
    </row>
    <row r="27">
      <c r="A27" s="54" t="inlineStr">
        <is>
          <t>Share of early-found defects scrapped</t>
        </is>
      </c>
      <c r="B27" s="20" t="n">
        <v>0.05</v>
      </c>
    </row>
    <row r="28">
      <c r="A28" s="54" t="inlineStr">
        <is>
          <t>Share of plant scrap from the pilot scope (team assumption)</t>
        </is>
      </c>
      <c r="B28" s="20" t="n">
        <v>0.4</v>
      </c>
    </row>
    <row r="29" ht="28" customHeight="1">
      <c r="A29" s="62" t="inlineStr">
        <is>
          <t>In-line check: 5 units after sealer, automatic feedback within 10 units, 90% detection on visible defect modes (case: AI camera in validation to Oct 2026).</t>
        </is>
      </c>
    </row>
    <row r="31">
      <c r="A31" s="3" t="inlineStr">
        <is>
          <t>Robustness: closed-loop (scenario 4) scrap reduction vs today when each assumption changes</t>
        </is>
      </c>
    </row>
    <row r="32">
      <c r="A32" s="55" t="inlineStr">
        <is>
          <t>Assumption</t>
        </is>
      </c>
      <c r="B32" s="55" t="inlineStr">
        <is>
          <t>Low</t>
        </is>
      </c>
      <c r="C32" s="55" t="inlineStr">
        <is>
          <t>Reduction</t>
        </is>
      </c>
      <c r="D32" s="55" t="inlineStr">
        <is>
          <t>Base</t>
        </is>
      </c>
      <c r="E32" s="55" t="inlineStr">
        <is>
          <t>Reduction</t>
        </is>
      </c>
      <c r="F32" s="55" t="inlineStr">
        <is>
          <t>High</t>
        </is>
      </c>
      <c r="G32" s="55" t="inlineStr">
        <is>
          <t>Reduction</t>
        </is>
      </c>
    </row>
    <row r="33">
      <c r="A33" s="3" t="inlineStr">
        <is>
          <t>AI camera coverage of defect modes</t>
        </is>
      </c>
      <c r="B33" s="20" t="n">
        <v>0.5</v>
      </c>
      <c r="C33" s="64" t="n">
        <v>0.8247043005741556</v>
      </c>
      <c r="D33" s="20" t="n">
        <v>0.7</v>
      </c>
      <c r="E33" s="64" t="n">
        <v>0.8468422609923756</v>
      </c>
      <c r="F33" s="20" t="n">
        <v>0.9</v>
      </c>
      <c r="G33" s="64" t="n">
        <v>0.8667088181512177</v>
      </c>
    </row>
    <row r="34">
      <c r="A34" s="3" t="inlineStr">
        <is>
          <t>Drift defect rate</t>
        </is>
      </c>
      <c r="B34" s="20" t="n">
        <v>0.1</v>
      </c>
      <c r="C34" s="64" t="n">
        <v>0.8026017993273447</v>
      </c>
      <c r="D34" s="20" t="n">
        <v>0.25</v>
      </c>
      <c r="E34" s="64" t="n">
        <v>0.8479906256107048</v>
      </c>
      <c r="F34" s="20" t="n">
        <v>0.4</v>
      </c>
      <c r="G34" s="64" t="n">
        <v>0.8649243431242232</v>
      </c>
    </row>
    <row r="35">
      <c r="A35" s="3" t="inlineStr">
        <is>
          <t>Units between drift events</t>
        </is>
      </c>
      <c r="B35" s="63" t="n">
        <v>2500</v>
      </c>
      <c r="C35" s="64" t="n">
        <v>0.8634074536698797</v>
      </c>
      <c r="D35" s="63" t="n">
        <v>5000</v>
      </c>
      <c r="E35" s="64" t="n">
        <v>0.8582510378017658</v>
      </c>
      <c r="F35" s="63" t="n">
        <v>10000</v>
      </c>
      <c r="G35" s="64" t="n">
        <v>0.8336816505910225</v>
      </c>
    </row>
    <row r="36">
      <c r="A36" s="3" t="inlineStr">
        <is>
          <t>Late-found scrap share</t>
        </is>
      </c>
      <c r="B36" s="20" t="n">
        <v>0.15</v>
      </c>
      <c r="C36" s="64" t="n">
        <v>0.8314626883200975</v>
      </c>
      <c r="D36" s="20" t="n">
        <v>0.3</v>
      </c>
      <c r="E36" s="64" t="n">
        <v>0.8538779573335564</v>
      </c>
      <c r="F36" s="20" t="n">
        <v>0.5</v>
      </c>
      <c r="G36" s="64" t="n">
        <v>0.8501771115300518</v>
      </c>
    </row>
    <row r="37">
      <c r="A37" s="3" t="inlineStr">
        <is>
          <t>Units from sealer to today's inspection</t>
        </is>
      </c>
      <c r="B37" s="63" t="n">
        <v>100</v>
      </c>
      <c r="C37" s="64" t="n">
        <v>0.8111230466252334</v>
      </c>
      <c r="D37" s="63" t="n">
        <v>300</v>
      </c>
      <c r="E37" s="64" t="n">
        <v>0.8492533988756621</v>
      </c>
      <c r="F37" s="63" t="n">
        <v>600</v>
      </c>
      <c r="G37" s="64" t="n">
        <v>0.8737976071910339</v>
      </c>
    </row>
    <row r="38">
      <c r="A38" s="3" t="inlineStr">
        <is>
          <t>Lowest scrap reduction across all tested cases: 80%. The mechanism holds even with pessimistic process assumptions.</t>
        </is>
      </c>
    </row>
    <row r="40">
      <c r="A40" s="3" t="inlineStr">
        <is>
          <t>People test: how much value is lost when operators dismiss alerts?</t>
        </is>
      </c>
    </row>
    <row r="41">
      <c r="A41" s="55" t="inlineStr">
        <is>
          <t>Share of drift episodes where alerts are dismissed</t>
        </is>
      </c>
      <c r="B41" s="55" t="inlineStr">
        <is>
          <t>Scrap reduction vs today</t>
        </is>
      </c>
    </row>
    <row r="42">
      <c r="A42" s="20" t="n">
        <v>0</v>
      </c>
      <c r="B42" s="64" t="n">
        <v>0.9392930243154951</v>
      </c>
    </row>
    <row r="43">
      <c r="A43" s="20" t="n">
        <v>0.1</v>
      </c>
      <c r="B43" s="64" t="n">
        <v>0.8445760803926541</v>
      </c>
    </row>
    <row r="44">
      <c r="A44" s="20" t="n">
        <v>0.2</v>
      </c>
      <c r="B44" s="64" t="n">
        <v>0.7497194978398884</v>
      </c>
    </row>
    <row r="45">
      <c r="A45" s="20" t="n">
        <v>0.31</v>
      </c>
      <c r="B45" s="64" t="n">
        <v>0.6431060163426193</v>
      </c>
    </row>
    <row r="46">
      <c r="A46" s="20" t="n">
        <v>0.5</v>
      </c>
      <c r="B46" s="64" t="n">
        <v>0.4964125733562145</v>
      </c>
    </row>
    <row r="47" ht="28" customHeight="1">
      <c r="A47" s="62" t="inlineStr">
        <is>
          <t>Exhibit 6B says 31% of operators frequently override alerts today. This chart is the quantified case for the people part of the idea.</t>
        </is>
      </c>
    </row>
    <row r="49">
      <c r="A49" s="3" t="inlineStr">
        <is>
          <t>TEST 2. Is the business case robust? Financial Monte Carlo (10,000 runs, mirrors the Model tab incl. pilot-light phasing)</t>
        </is>
      </c>
    </row>
    <row r="50">
      <c r="A50" s="55" t="inlineStr">
        <is>
          <t>Metric</t>
        </is>
      </c>
      <c r="B50" s="55" t="inlineStr">
        <is>
          <t>Value</t>
        </is>
      </c>
      <c r="C50" s="55" t="inlineStr">
        <is>
          <t>Note</t>
        </is>
      </c>
    </row>
    <row r="51">
      <c r="A51" s="3" t="inlineStr">
        <is>
          <t>Deterministic base NPV (check vs Model tab)</t>
        </is>
      </c>
      <c r="B51" s="65" t="n">
        <v>27.01403870465879</v>
      </c>
      <c r="C51" s="54" t="inlineStr">
        <is>
          <t>Should match Dashboard base NPV</t>
        </is>
      </c>
    </row>
    <row r="52">
      <c r="A52" s="3" t="inlineStr">
        <is>
          <t>Mean NPV</t>
        </is>
      </c>
      <c r="B52" s="65" t="n">
        <v>11.82360761131173</v>
      </c>
      <c r="C52" s="54" t="inlineStr">
        <is>
          <t>Rp billion</t>
        </is>
      </c>
    </row>
    <row r="53">
      <c r="A53" s="3" t="inlineStr">
        <is>
          <t>P5 NPV (bad case)</t>
        </is>
      </c>
      <c r="B53" s="65" t="n">
        <v>-19.41291040060244</v>
      </c>
      <c r="C53" s="54" t="inlineStr">
        <is>
          <t>1-in-20 downside</t>
        </is>
      </c>
    </row>
    <row r="54">
      <c r="A54" s="3" t="inlineStr">
        <is>
          <t>Median NPV</t>
        </is>
      </c>
      <c r="B54" s="65" t="n">
        <v>11.7084469092985</v>
      </c>
      <c r="C54" s="54" t="inlineStr"/>
    </row>
    <row r="55">
      <c r="A55" s="3" t="inlineStr">
        <is>
          <t>P95 NPV (good case)</t>
        </is>
      </c>
      <c r="B55" s="65" t="n">
        <v>43.10332192077205</v>
      </c>
      <c r="C55" s="54" t="inlineStr"/>
    </row>
    <row r="56">
      <c r="A56" s="3" t="inlineStr">
        <is>
          <t>Probability NPV &gt; 0</t>
        </is>
      </c>
      <c r="B56" s="64" t="n">
        <v>0.7311</v>
      </c>
      <c r="C56" s="54" t="inlineStr">
        <is>
          <t>Headline for the financial slide</t>
        </is>
      </c>
    </row>
    <row r="57">
      <c r="A57" s="3" t="inlineStr">
        <is>
          <t>Median full run-rate savings (Rp B/yr)</t>
        </is>
      </c>
      <c r="B57" s="65" t="n">
        <v>49.0844126012166</v>
      </c>
      <c r="C57" s="54" t="inlineStr"/>
    </row>
    <row r="58">
      <c r="A58" s="3" t="inlineStr">
        <is>
          <t>Median run-rate as % of conversion cost</t>
        </is>
      </c>
      <c r="B58" s="64" t="n">
        <v>0.08765073678788678</v>
      </c>
      <c r="C58" s="54" t="inlineStr">
        <is>
          <t>vs 16% gap to benchmark</t>
        </is>
      </c>
    </row>
    <row r="60">
      <c r="A60" s="3" t="inlineStr">
        <is>
          <t>TEST 2b. How should the roadmap spend the money? Same 10,000 runs, five strategies (gate = stop scaling if 2027 pilot adoption &lt; 80%; happens in 25% of runs)</t>
        </is>
      </c>
    </row>
    <row r="61">
      <c r="A61" s="55" t="inlineStr">
        <is>
          <t>Strategy</t>
        </is>
      </c>
      <c r="B61" s="55" t="inlineStr">
        <is>
          <t>Mean NPV</t>
        </is>
      </c>
      <c r="C61" s="55" t="inlineStr">
        <is>
          <t>P5 NPV</t>
        </is>
      </c>
      <c r="D61" s="55" t="inlineStr">
        <is>
          <t>Median NPV</t>
        </is>
      </c>
      <c r="E61" s="55" t="inlineStr">
        <is>
          <t>P95 NPV</t>
        </is>
      </c>
      <c r="F61" s="55" t="inlineStr">
        <is>
          <t>P(NPV &gt; 0)</t>
        </is>
      </c>
    </row>
    <row r="62">
      <c r="A62" s="66" t="inlineStr">
        <is>
          <t>A. Front-loaded phasing, no gate</t>
        </is>
      </c>
      <c r="B62" s="67" t="n">
        <v>-0.191332294676973</v>
      </c>
      <c r="C62" s="67" t="n">
        <v>-32.83255089311962</v>
      </c>
      <c r="D62" s="67" t="n">
        <v>-0.3737217276611755</v>
      </c>
      <c r="E62" s="67" t="n">
        <v>32.5044161216826</v>
      </c>
      <c r="F62" s="58" t="n">
        <v>0.4925</v>
      </c>
    </row>
    <row r="63">
      <c r="A63" s="66" t="inlineStr">
        <is>
          <t>B. Front-loaded phasing + gate (65% already spent)</t>
        </is>
      </c>
      <c r="B63" s="67" t="n">
        <v>-3.79967892697686</v>
      </c>
      <c r="C63" s="67" t="n">
        <v>-39.74590657971964</v>
      </c>
      <c r="D63" s="67" t="n">
        <v>-2.962350007986172</v>
      </c>
      <c r="E63" s="67" t="n">
        <v>32.40194504032392</v>
      </c>
      <c r="F63" s="58" t="n">
        <v>0.4518</v>
      </c>
    </row>
    <row r="64">
      <c r="A64" s="66" t="inlineStr">
        <is>
          <t>C. Pilot-light phasing, no gate (as in Model tab)</t>
        </is>
      </c>
      <c r="B64" s="67" t="n">
        <v>11.82360761131173</v>
      </c>
      <c r="C64" s="67" t="n">
        <v>-19.41291040060244</v>
      </c>
      <c r="D64" s="67" t="n">
        <v>11.7084469092985</v>
      </c>
      <c r="E64" s="67" t="n">
        <v>43.10332192077205</v>
      </c>
      <c r="F64" s="58" t="n">
        <v>0.7311</v>
      </c>
    </row>
    <row r="65">
      <c r="A65" s="68" t="inlineStr">
        <is>
          <t>D. Pilot-light phasing + gate</t>
        </is>
      </c>
      <c r="B65" s="69" t="n">
        <v>15.05090030021514</v>
      </c>
      <c r="C65" s="69" t="n">
        <v>-8.411626796801812</v>
      </c>
      <c r="D65" s="69" t="n">
        <v>13.32040175184729</v>
      </c>
      <c r="E65" s="69" t="n">
        <v>43.06772269056702</v>
      </c>
      <c r="F65" s="61" t="n">
        <v>0.8595</v>
      </c>
    </row>
    <row r="66">
      <c r="A66" s="66" t="inlineStr">
        <is>
          <t>E. D + remaining equipment life valued at book</t>
        </is>
      </c>
      <c r="B66" s="67" t="n">
        <v>36.01053481960803</v>
      </c>
      <c r="C66" s="67" t="n">
        <v>6.476777490438207</v>
      </c>
      <c r="D66" s="67" t="n">
        <v>36.96085240343595</v>
      </c>
      <c r="E66" s="67" t="n">
        <v>67.48368978517901</v>
      </c>
      <c r="F66" s="58" t="n">
        <v>0.9938</v>
      </c>
    </row>
    <row r="67">
      <c r="A67" s="66" t="inlineStr">
        <is>
          <t>F. D but savings ramp one year slower (stress test)</t>
        </is>
      </c>
      <c r="B67" s="67" t="n">
        <v>-7.534233621168762</v>
      </c>
      <c r="C67" s="67" t="n">
        <v>-31.89940806088983</v>
      </c>
      <c r="D67" s="67" t="n">
        <v>-5.542507323532465</v>
      </c>
      <c r="E67" s="67" t="n">
        <v>12.32550108470081</v>
      </c>
      <c r="F67" s="58" t="n">
        <v>0.3242</v>
      </c>
    </row>
    <row r="68">
      <c r="A68" s="66" t="inlineStr">
        <is>
          <t>G. F + remaining equipment life valued at book</t>
        </is>
      </c>
      <c r="B68" s="67" t="n">
        <v>13.42540089822414</v>
      </c>
      <c r="C68" s="67" t="n">
        <v>-3.778779125254701</v>
      </c>
      <c r="D68" s="67" t="n">
        <v>11.92716410770895</v>
      </c>
      <c r="E68" s="67" t="n">
        <v>35.1241416528562</v>
      </c>
      <c r="F68" s="58" t="n">
        <v>0.879</v>
      </c>
    </row>
    <row r="69" ht="30" customHeight="1">
      <c r="A69" s="62" t="inlineStr">
        <is>
          <t>Pilot-light phasing: 10% / 15% / 40% / 25% / 10% of capex in 2026-2030. Ramp-up kept the same to isolate the effect of phasing; if scaling later also delays savings, the gain is smaller.</t>
        </is>
      </c>
    </row>
    <row r="70" ht="58" customHeight="1">
      <c r="A70" s="9" t="inlineStr">
        <is>
          <t>Reading: a gate only protects value if little money is spent before it. Gate after heavy spending (B) destroys value; pilot-light + gate (D) is the design to defend in SQ3. Valuing equipment life beyond 2030 (E) is legitimate but state it openly. Stress test (F): if savings arrive a year late, P(NPV&gt;0) falls to 32% (88% if remaining equipment life is valued, G). Speed of the pilot is the make-or-break factor: quick wins in 2026-27 belong in the roadmap.</t>
        </is>
      </c>
    </row>
    <row r="71" ht="45" customHeight="1">
      <c r="A71" s="62" t="inlineStr">
        <is>
          <t>Ranges used (triangular low / mode / high): scrap 20/35/50%, maintenance 5/10/15%, NVA 15/30/45%, energy 2/5/8%, variant cost 20/35/50%, investment 60/80/110, running 8/9/12%, training 2/2.5/3, variant projects 2/3/5, cost per project 5/10/15, cash realization 30/50/70%, adoption 60/100/100%, labor share 35/40/45%.</t>
        </is>
      </c>
    </row>
    <row r="73">
      <c r="A73" s="3" t="inlineStr">
        <is>
          <t>NPV distribution (histogram)</t>
        </is>
      </c>
    </row>
    <row r="74">
      <c r="A74" s="55" t="inlineStr">
        <is>
          <t>NPV bin from (Rp B)</t>
        </is>
      </c>
      <c r="B74" s="55" t="inlineStr">
        <is>
          <t>Runs</t>
        </is>
      </c>
    </row>
    <row r="75">
      <c r="A75" s="65" t="n">
        <v>-51.6</v>
      </c>
      <c r="B75" s="70" t="n">
        <v>11</v>
      </c>
    </row>
    <row r="76">
      <c r="A76" s="65" t="n">
        <v>-41.6</v>
      </c>
      <c r="B76" s="70" t="n">
        <v>73</v>
      </c>
    </row>
    <row r="77">
      <c r="A77" s="65" t="n">
        <v>-31.5</v>
      </c>
      <c r="B77" s="70" t="n">
        <v>294</v>
      </c>
    </row>
    <row r="78">
      <c r="A78" s="65" t="n">
        <v>-21.5</v>
      </c>
      <c r="B78" s="70" t="n">
        <v>700</v>
      </c>
    </row>
    <row r="79">
      <c r="A79" s="65" t="n">
        <v>-11.5</v>
      </c>
      <c r="B79" s="70" t="n">
        <v>1367</v>
      </c>
    </row>
    <row r="80">
      <c r="A80" s="65" t="n">
        <v>-1.4</v>
      </c>
      <c r="B80" s="70" t="n">
        <v>1920</v>
      </c>
    </row>
    <row r="81">
      <c r="A81" s="65" t="n">
        <v>8.6</v>
      </c>
      <c r="B81" s="70" t="n">
        <v>2028</v>
      </c>
    </row>
    <row r="82">
      <c r="A82" s="65" t="n">
        <v>18.6</v>
      </c>
      <c r="B82" s="70" t="n">
        <v>1753</v>
      </c>
    </row>
    <row r="83">
      <c r="A83" s="65" t="n">
        <v>28.6</v>
      </c>
      <c r="B83" s="70" t="n">
        <v>1056</v>
      </c>
    </row>
    <row r="84">
      <c r="A84" s="65" t="n">
        <v>38.7</v>
      </c>
      <c r="B84" s="70" t="n">
        <v>560</v>
      </c>
    </row>
    <row r="85">
      <c r="A85" s="65" t="n">
        <v>48.7</v>
      </c>
      <c r="B85" s="70" t="n">
        <v>182</v>
      </c>
    </row>
    <row r="86">
      <c r="A86" s="65" t="n">
        <v>58.7</v>
      </c>
      <c r="B86" s="70" t="n">
        <v>43</v>
      </c>
    </row>
    <row r="87">
      <c r="A87" s="65" t="n">
        <v>68.8</v>
      </c>
      <c r="B87" s="70" t="n">
        <v>10</v>
      </c>
    </row>
    <row r="88">
      <c r="A88" s="65" t="n">
        <v>78.8</v>
      </c>
      <c r="B88" s="70" t="n">
        <v>2</v>
      </c>
    </row>
    <row r="89">
      <c r="A89" s="65" t="n">
        <v>88.8</v>
      </c>
      <c r="B89" s="70" t="n">
        <v>0</v>
      </c>
    </row>
    <row r="90">
      <c r="A90" s="65" t="n">
        <v>98.90000000000001</v>
      </c>
      <c r="B90" s="70" t="n">
        <v>1</v>
      </c>
    </row>
    <row r="92">
      <c r="A92" s="3" t="inlineStr">
        <is>
          <t>TEST 3. Which assumption matters most? Tornado (base case, one at a time)</t>
        </is>
      </c>
    </row>
    <row r="93">
      <c r="A93" s="55" t="inlineStr">
        <is>
          <t>Driver</t>
        </is>
      </c>
      <c r="B93" s="55" t="inlineStr">
        <is>
          <t>Low input</t>
        </is>
      </c>
      <c r="C93" s="55" t="inlineStr">
        <is>
          <t>High input</t>
        </is>
      </c>
      <c r="D93" s="55" t="inlineStr">
        <is>
          <t>NPV at low</t>
        </is>
      </c>
      <c r="E93" s="55" t="inlineStr">
        <is>
          <t>NPV at high</t>
        </is>
      </c>
      <c r="F93" s="55" t="inlineStr">
        <is>
          <t>Swing</t>
        </is>
      </c>
    </row>
    <row r="94">
      <c r="A94" s="71" t="inlineStr">
        <is>
          <t>Investment (Rp B)</t>
        </is>
      </c>
      <c r="B94" s="72" t="n">
        <v>110</v>
      </c>
      <c r="C94" s="72" t="n">
        <v>60</v>
      </c>
      <c r="D94" s="67" t="n">
        <v>-1.497910926203485</v>
      </c>
      <c r="E94" s="67" t="n">
        <v>46.02200512523363</v>
      </c>
      <c r="F94" s="67" t="n">
        <v>47.51991605143711</v>
      </c>
    </row>
    <row r="95">
      <c r="A95" s="71" t="inlineStr">
        <is>
          <t>Adoption achieved</t>
        </is>
      </c>
      <c r="B95" s="58" t="n">
        <v>0.6</v>
      </c>
      <c r="C95" s="72" t="n">
        <v>1</v>
      </c>
      <c r="D95" s="67" t="n">
        <v>-17.99510981953292</v>
      </c>
      <c r="E95" s="67" t="n">
        <v>27.01403870465879</v>
      </c>
      <c r="F95" s="67" t="n">
        <v>45.00914852419172</v>
      </c>
    </row>
    <row r="96">
      <c r="A96" s="71" t="inlineStr">
        <is>
          <t>Scrap reduction</t>
        </is>
      </c>
      <c r="B96" s="58" t="n">
        <v>0.2</v>
      </c>
      <c r="C96" s="58" t="n">
        <v>0.5</v>
      </c>
      <c r="D96" s="67" t="n">
        <v>7.376539348554191</v>
      </c>
      <c r="E96" s="67" t="n">
        <v>46.65153806076337</v>
      </c>
      <c r="F96" s="67" t="n">
        <v>39.27499871220918</v>
      </c>
    </row>
    <row r="97">
      <c r="A97" s="71" t="inlineStr">
        <is>
          <t>Variant projects / yr</t>
        </is>
      </c>
      <c r="B97" s="72" t="n">
        <v>2</v>
      </c>
      <c r="C97" s="72" t="n">
        <v>5</v>
      </c>
      <c r="D97" s="67" t="n">
        <v>18.83174730628188</v>
      </c>
      <c r="E97" s="67" t="n">
        <v>43.37862150141261</v>
      </c>
      <c r="F97" s="67" t="n">
        <v>24.54687419513073</v>
      </c>
    </row>
    <row r="98">
      <c r="A98" s="71" t="inlineStr">
        <is>
          <t>Cost per variant project</t>
        </is>
      </c>
      <c r="B98" s="72" t="n">
        <v>5</v>
      </c>
      <c r="C98" s="72" t="n">
        <v>15</v>
      </c>
      <c r="D98" s="67" t="n">
        <v>14.74060160709343</v>
      </c>
      <c r="E98" s="67" t="n">
        <v>39.28747580222415</v>
      </c>
      <c r="F98" s="67" t="n">
        <v>24.54687419513073</v>
      </c>
    </row>
    <row r="99">
      <c r="A99" s="71" t="inlineStr">
        <is>
          <t>Variant cost reduction</t>
        </is>
      </c>
      <c r="B99" s="58" t="n">
        <v>0.2</v>
      </c>
      <c r="C99" s="58" t="n">
        <v>0.5</v>
      </c>
      <c r="D99" s="67" t="n">
        <v>16.49394976388848</v>
      </c>
      <c r="E99" s="67" t="n">
        <v>37.5341276454291</v>
      </c>
      <c r="F99" s="67" t="n">
        <v>21.04017788154063</v>
      </c>
    </row>
    <row r="100">
      <c r="A100" s="71" t="inlineStr">
        <is>
          <t>Operator NVA eliminated</t>
        </is>
      </c>
      <c r="B100" s="58" t="n">
        <v>0.15</v>
      </c>
      <c r="C100" s="58" t="n">
        <v>0.45</v>
      </c>
      <c r="D100" s="67" t="n">
        <v>18.37353898797276</v>
      </c>
      <c r="E100" s="67" t="n">
        <v>35.6545384213448</v>
      </c>
      <c r="F100" s="67" t="n">
        <v>17.28099943337204</v>
      </c>
    </row>
    <row r="101">
      <c r="A101" s="71" t="inlineStr">
        <is>
          <t>Maintenance reduction</t>
        </is>
      </c>
      <c r="B101" s="58" t="n">
        <v>0.05</v>
      </c>
      <c r="C101" s="58" t="n">
        <v>0.15</v>
      </c>
      <c r="D101" s="67" t="n">
        <v>18.50445565034678</v>
      </c>
      <c r="E101" s="67" t="n">
        <v>35.52362175897076</v>
      </c>
      <c r="F101" s="67" t="n">
        <v>17.01916610862397</v>
      </c>
    </row>
    <row r="102">
      <c r="A102" s="71" t="inlineStr">
        <is>
          <t>Energy reduction</t>
        </is>
      </c>
      <c r="B102" s="58" t="n">
        <v>0.02</v>
      </c>
      <c r="C102" s="58" t="n">
        <v>0.08</v>
      </c>
      <c r="D102" s="67" t="n">
        <v>22.30103885919367</v>
      </c>
      <c r="E102" s="67" t="n">
        <v>31.72703855012389</v>
      </c>
      <c r="F102" s="67" t="n">
        <v>9.425999690930212</v>
      </c>
    </row>
    <row r="103">
      <c r="A103" s="71" t="inlineStr">
        <is>
          <t>Running cost %</t>
        </is>
      </c>
      <c r="B103" s="58" t="n">
        <v>0.12</v>
      </c>
      <c r="C103" s="58" t="n">
        <v>0.08</v>
      </c>
      <c r="D103" s="67" t="n">
        <v>23.77962476124955</v>
      </c>
      <c r="E103" s="67" t="n">
        <v>30.24845264806801</v>
      </c>
      <c r="F103" s="67" t="n">
        <v>6.468827886818463</v>
      </c>
    </row>
    <row r="104">
      <c r="A104" s="3" t="inlineStr">
        <is>
          <t>Use the top 2-3 drivers as the assumptions you defend hardest in Q&amp;A, and as the KPIs you track first in the pilot.</t>
        </is>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H104"/>
  <sheetViews>
    <sheetView workbookViewId="0">
      <selection activeCell="A1" sqref="A1"/>
    </sheetView>
  </sheetViews>
  <sheetFormatPr baseColWidth="8" defaultRowHeight="15"/>
  <cols>
    <col width="62" customWidth="1" min="1" max="1"/>
    <col width="18" customWidth="1" min="2" max="2"/>
    <col width="18" customWidth="1" min="3" max="3"/>
    <col width="18" customWidth="1" min="4" max="4"/>
    <col width="20" customWidth="1" min="5" max="5"/>
    <col width="14" customWidth="1" min="6" max="6"/>
    <col width="14" customWidth="1" min="7" max="7"/>
    <col width="16" customWidth="1" min="8" max="8"/>
  </cols>
  <sheetData>
    <row r="1">
      <c r="A1" s="1" t="inlineStr">
        <is>
          <t>Idea tests: simulation results (values produced by run_tests.py, not formulas)</t>
        </is>
      </c>
    </row>
    <row r="2">
      <c r="A2" s="54" t="inlineStr">
        <is>
          <t>Re-run run_tests.py after changing assumptions. Process parameters below are illustrative assumptions, not TMMIN data: present them as a mechanism test, and show the sensitivity.</t>
        </is>
      </c>
    </row>
    <row r="4">
      <c r="A4" s="3" t="inlineStr">
        <is>
          <t>TEST 1. Does closing the quality loop beat adding technology alone? (sealer drift -&gt; inspection -&gt; feedback, 1 year, 175,000 units, 300 runs)</t>
        </is>
      </c>
    </row>
    <row r="5">
      <c r="A5" s="55" t="inlineStr">
        <is>
          <t>Scenario</t>
        </is>
      </c>
      <c r="B5" s="55" t="inlineStr">
        <is>
          <t>Defective units / yr</t>
        </is>
      </c>
      <c r="C5" s="55" t="inlineStr">
        <is>
          <t>Scrapped units / yr</t>
        </is>
      </c>
      <c r="D5" s="55" t="inlineStr">
        <is>
          <t>Escaped defects / yr</t>
        </is>
      </c>
      <c r="E5" s="55" t="inlineStr">
        <is>
          <t>Units built while drifting</t>
        </is>
      </c>
      <c r="F5" s="55" t="inlineStr">
        <is>
          <t>Scrap vs today</t>
        </is>
      </c>
      <c r="G5" s="55" t="inlineStr">
        <is>
          <t>Escapes vs today</t>
        </is>
      </c>
      <c r="H5" s="55" t="inlineStr">
        <is>
          <t>Scrap P5-P95</t>
        </is>
      </c>
    </row>
    <row r="6">
      <c r="A6" s="56" t="inlineStr">
        <is>
          <t>1. Today: visual at final inspection, manual feedback</t>
        </is>
      </c>
      <c r="B6" s="57" t="n">
        <v>4266.68</v>
      </c>
      <c r="C6" s="57" t="n">
        <v>1088.524</v>
      </c>
      <c r="D6" s="57" t="n">
        <v>638.2666666666667</v>
      </c>
      <c r="E6" s="57" t="n">
        <v>15796.09333333333</v>
      </c>
      <c r="F6" s="58" t="n">
        <v>0</v>
      </c>
      <c r="G6" s="58" t="n">
        <v>0</v>
      </c>
      <c r="H6" s="57" t="inlineStr">
        <is>
          <t>835 - 1,365</t>
        </is>
      </c>
    </row>
    <row r="7">
      <c r="A7" s="56" t="inlineStr">
        <is>
          <t>2. Better camera at end-of-line only (tech, no loop)</t>
        </is>
      </c>
      <c r="B7" s="57" t="n">
        <v>4265.323333333334</v>
      </c>
      <c r="C7" s="57" t="n">
        <v>1215.776</v>
      </c>
      <c r="D7" s="57" t="n">
        <v>212.7366666666667</v>
      </c>
      <c r="E7" s="57" t="n">
        <v>15793.25666666667</v>
      </c>
      <c r="F7" s="58" t="n">
        <v>0.1169032561523677</v>
      </c>
      <c r="G7" s="58" t="n">
        <v>-0.6666962607060789</v>
      </c>
      <c r="H7" s="57" t="inlineStr">
        <is>
          <t>910 - 1,492</t>
        </is>
      </c>
    </row>
    <row r="8">
      <c r="A8" s="56" t="inlineStr">
        <is>
          <t>3. Closed loop at sealer, 31% of alerts dismissed (as today)</t>
        </is>
      </c>
      <c r="B8" s="57" t="n">
        <v>1652.95</v>
      </c>
      <c r="C8" s="57" t="n">
        <v>362.1536666666667</v>
      </c>
      <c r="D8" s="57" t="n">
        <v>203.26</v>
      </c>
      <c r="E8" s="57" t="n">
        <v>5247.72</v>
      </c>
      <c r="F8" s="58" t="n">
        <v>-0.6672984089770491</v>
      </c>
      <c r="G8" s="58" t="n">
        <v>-0.6815437643618132</v>
      </c>
      <c r="H8" s="57" t="inlineStr">
        <is>
          <t>216 - 543</t>
        </is>
      </c>
    </row>
    <row r="9">
      <c r="A9" s="59" t="inlineStr">
        <is>
          <t>4. Closed loop with people-centred design (10% dismissed)</t>
        </is>
      </c>
      <c r="B9" s="60" t="n">
        <v>908.3233333333334</v>
      </c>
      <c r="C9" s="60" t="n">
        <v>166.8633333333333</v>
      </c>
      <c r="D9" s="60" t="n">
        <v>88.00666666666666</v>
      </c>
      <c r="E9" s="60" t="n">
        <v>2257.006666666667</v>
      </c>
      <c r="F9" s="61" t="n">
        <v>-0.8467067943992661</v>
      </c>
      <c r="G9" s="61" t="n">
        <v>-0.862116147900564</v>
      </c>
      <c r="H9" s="60" t="inlineStr">
        <is>
          <t>83 - 270</t>
        </is>
      </c>
    </row>
    <row r="11">
      <c r="A11" s="3" t="inlineStr">
        <is>
          <t>What this shows</t>
        </is>
      </c>
    </row>
    <row r="12" ht="28" customHeight="1">
      <c r="A12" s="62" t="inlineStr">
        <is>
          <t>- A better camera at end-of-line alone changes scrap by +12% while escapes fall 67%: it catches more bad units, but too late, so escapes turn into scrap. It does not prevent defects.</t>
        </is>
      </c>
    </row>
    <row r="13" ht="28" customHeight="1">
      <c r="A13" s="62" t="inlineStr">
        <is>
          <t>- Closing the loop right after the sealer cuts scrap 85% and escapes 86%, because a drift is stopped within a few units instead of hundreds.</t>
        </is>
      </c>
    </row>
    <row r="14" ht="28" customHeight="1">
      <c r="A14" s="62" t="inlineStr">
        <is>
          <t>- If operators dismiss alerts in 31% of drift episodes (today's override rate), scrap reduction falls to 67%. Trust, training and alert design are part of the value, not an add-on.</t>
        </is>
      </c>
    </row>
    <row r="15" ht="28" customHeight="1">
      <c r="A15" s="62" t="inlineStr">
        <is>
          <t>- Plant-wide: if the pilot scope causes 40% of plant scrap (team assumption), the plant-wide scrap cut is about 34%. Compare with the 20% / 35% / 50% lever in Assumptions.</t>
        </is>
      </c>
    </row>
    <row r="16" ht="28" customHeight="1">
      <c r="A16" s="62" t="inlineStr">
        <is>
          <t>- Deck message: value comes from redesigning the system (where the check sits, how fast the signal travels, who acts on it), not from buying the device. That is exactly the case ask.</t>
        </is>
      </c>
    </row>
    <row r="18">
      <c r="A18" s="3" t="inlineStr">
        <is>
          <t>Process assumptions used (illustrative, change and re-run)</t>
        </is>
      </c>
    </row>
    <row r="19">
      <c r="A19" s="54" t="inlineStr">
        <is>
          <t>Defect probability per unit, stable sealer</t>
        </is>
      </c>
      <c r="B19" s="20" t="n">
        <v>0.002</v>
      </c>
    </row>
    <row r="20">
      <c r="A20" s="54" t="inlineStr">
        <is>
          <t>Average units between drift events</t>
        </is>
      </c>
      <c r="B20" s="63" t="n">
        <v>5000</v>
      </c>
    </row>
    <row r="21">
      <c r="A21" s="54" t="inlineStr">
        <is>
          <t>Defect probability per unit while drifting</t>
        </is>
      </c>
      <c r="B21" s="20" t="n">
        <v>0.25</v>
      </c>
    </row>
    <row r="22">
      <c r="A22" s="54" t="inlineStr">
        <is>
          <t>Manual visual detection rate at final inspection</t>
        </is>
      </c>
      <c r="B22" s="20" t="n">
        <v>0.85</v>
      </c>
    </row>
    <row r="23">
      <c r="A23" s="54" t="inlineStr">
        <is>
          <t>Share of sealer defect modes the in-line AI camera can see</t>
        </is>
      </c>
      <c r="B23" s="20" t="n">
        <v>0.7</v>
      </c>
    </row>
    <row r="24">
      <c r="A24" s="54" t="inlineStr">
        <is>
          <t>Units between sealer and today's final inspection</t>
        </is>
      </c>
      <c r="B24" s="63" t="n">
        <v>300</v>
      </c>
    </row>
    <row r="25">
      <c r="A25" s="54" t="inlineStr">
        <is>
          <t>Units built before manual feedback reaches the sealer</t>
        </is>
      </c>
      <c r="B25" s="63" t="n">
        <v>150</v>
      </c>
    </row>
    <row r="26">
      <c r="A26" s="54" t="inlineStr">
        <is>
          <t>Share of late-found defects scrapped</t>
        </is>
      </c>
      <c r="B26" s="20" t="n">
        <v>0.3</v>
      </c>
    </row>
    <row r="27">
      <c r="A27" s="54" t="inlineStr">
        <is>
          <t>Share of early-found defects scrapped</t>
        </is>
      </c>
      <c r="B27" s="20" t="n">
        <v>0.05</v>
      </c>
    </row>
    <row r="28">
      <c r="A28" s="54" t="inlineStr">
        <is>
          <t>Share of plant scrap from the pilot scope (team assumption)</t>
        </is>
      </c>
      <c r="B28" s="20" t="n">
        <v>0.4</v>
      </c>
    </row>
    <row r="29" ht="28" customHeight="1">
      <c r="A29" s="62" t="inlineStr">
        <is>
          <t>In-line check: 5 units after sealer, automatic feedback within 10 units, 90% detection on visible defect modes (case: AI camera in validation to Oct 2026).</t>
        </is>
      </c>
    </row>
    <row r="31">
      <c r="A31" s="3" t="inlineStr">
        <is>
          <t>Robustness: closed-loop (scenario 4) scrap reduction vs today when each assumption changes</t>
        </is>
      </c>
    </row>
    <row r="32">
      <c r="A32" s="55" t="inlineStr">
        <is>
          <t>Assumption</t>
        </is>
      </c>
      <c r="B32" s="55" t="inlineStr">
        <is>
          <t>Low</t>
        </is>
      </c>
      <c r="C32" s="55" t="inlineStr">
        <is>
          <t>Reduction</t>
        </is>
      </c>
      <c r="D32" s="55" t="inlineStr">
        <is>
          <t>Base</t>
        </is>
      </c>
      <c r="E32" s="55" t="inlineStr">
        <is>
          <t>Reduction</t>
        </is>
      </c>
      <c r="F32" s="55" t="inlineStr">
        <is>
          <t>High</t>
        </is>
      </c>
      <c r="G32" s="55" t="inlineStr">
        <is>
          <t>Reduction</t>
        </is>
      </c>
    </row>
    <row r="33">
      <c r="A33" s="3" t="inlineStr">
        <is>
          <t>AI camera coverage of defect modes</t>
        </is>
      </c>
      <c r="B33" s="20" t="n">
        <v>0.5</v>
      </c>
      <c r="C33" s="64" t="n">
        <v>0.8247043005741556</v>
      </c>
      <c r="D33" s="20" t="n">
        <v>0.7</v>
      </c>
      <c r="E33" s="64" t="n">
        <v>0.8468422609923756</v>
      </c>
      <c r="F33" s="20" t="n">
        <v>0.9</v>
      </c>
      <c r="G33" s="64" t="n">
        <v>0.8667088181512177</v>
      </c>
    </row>
    <row r="34">
      <c r="A34" s="3" t="inlineStr">
        <is>
          <t>Drift defect rate</t>
        </is>
      </c>
      <c r="B34" s="20" t="n">
        <v>0.1</v>
      </c>
      <c r="C34" s="64" t="n">
        <v>0.8026017993273447</v>
      </c>
      <c r="D34" s="20" t="n">
        <v>0.25</v>
      </c>
      <c r="E34" s="64" t="n">
        <v>0.8479906256107048</v>
      </c>
      <c r="F34" s="20" t="n">
        <v>0.4</v>
      </c>
      <c r="G34" s="64" t="n">
        <v>0.8649243431242232</v>
      </c>
    </row>
    <row r="35">
      <c r="A35" s="3" t="inlineStr">
        <is>
          <t>Units between drift events</t>
        </is>
      </c>
      <c r="B35" s="63" t="n">
        <v>2500</v>
      </c>
      <c r="C35" s="64" t="n">
        <v>0.8634074536698797</v>
      </c>
      <c r="D35" s="63" t="n">
        <v>5000</v>
      </c>
      <c r="E35" s="64" t="n">
        <v>0.8582510378017658</v>
      </c>
      <c r="F35" s="63" t="n">
        <v>10000</v>
      </c>
      <c r="G35" s="64" t="n">
        <v>0.8336816505910225</v>
      </c>
    </row>
    <row r="36">
      <c r="A36" s="3" t="inlineStr">
        <is>
          <t>Late-found scrap share</t>
        </is>
      </c>
      <c r="B36" s="20" t="n">
        <v>0.15</v>
      </c>
      <c r="C36" s="64" t="n">
        <v>0.8314626883200975</v>
      </c>
      <c r="D36" s="20" t="n">
        <v>0.3</v>
      </c>
      <c r="E36" s="64" t="n">
        <v>0.8538779573335564</v>
      </c>
      <c r="F36" s="20" t="n">
        <v>0.5</v>
      </c>
      <c r="G36" s="64" t="n">
        <v>0.8501771115300518</v>
      </c>
    </row>
    <row r="37">
      <c r="A37" s="3" t="inlineStr">
        <is>
          <t>Units from sealer to today's inspection</t>
        </is>
      </c>
      <c r="B37" s="63" t="n">
        <v>100</v>
      </c>
      <c r="C37" s="64" t="n">
        <v>0.8111230466252334</v>
      </c>
      <c r="D37" s="63" t="n">
        <v>300</v>
      </c>
      <c r="E37" s="64" t="n">
        <v>0.8492533988756621</v>
      </c>
      <c r="F37" s="63" t="n">
        <v>600</v>
      </c>
      <c r="G37" s="64" t="n">
        <v>0.8737976071910339</v>
      </c>
    </row>
    <row r="38">
      <c r="A38" s="3" t="inlineStr">
        <is>
          <t>Lowest scrap reduction across all tested cases: 80%. The mechanism holds even with pessimistic process assumptions.</t>
        </is>
      </c>
    </row>
    <row r="40">
      <c r="A40" s="3" t="inlineStr">
        <is>
          <t>People test: how much value is lost when operators dismiss alerts?</t>
        </is>
      </c>
    </row>
    <row r="41">
      <c r="A41" s="55" t="inlineStr">
        <is>
          <t>Share of drift episodes where alerts are dismissed</t>
        </is>
      </c>
      <c r="B41" s="55" t="inlineStr">
        <is>
          <t>Scrap reduction vs today</t>
        </is>
      </c>
    </row>
    <row r="42">
      <c r="A42" s="20" t="n">
        <v>0</v>
      </c>
      <c r="B42" s="64" t="n">
        <v>0.9392930243154951</v>
      </c>
    </row>
    <row r="43">
      <c r="A43" s="20" t="n">
        <v>0.1</v>
      </c>
      <c r="B43" s="64" t="n">
        <v>0.8445760803926541</v>
      </c>
    </row>
    <row r="44">
      <c r="A44" s="20" t="n">
        <v>0.2</v>
      </c>
      <c r="B44" s="64" t="n">
        <v>0.7497194978398884</v>
      </c>
    </row>
    <row r="45">
      <c r="A45" s="20" t="n">
        <v>0.31</v>
      </c>
      <c r="B45" s="64" t="n">
        <v>0.6431060163426193</v>
      </c>
    </row>
    <row r="46">
      <c r="A46" s="20" t="n">
        <v>0.5</v>
      </c>
      <c r="B46" s="64" t="n">
        <v>0.4964125733562145</v>
      </c>
    </row>
    <row r="47" ht="28" customHeight="1">
      <c r="A47" s="62" t="inlineStr">
        <is>
          <t>Exhibit 6B says 31% of operators frequently override alerts today. This chart is the quantified case for the people part of the idea.</t>
        </is>
      </c>
    </row>
    <row r="49">
      <c r="A49" s="3" t="inlineStr">
        <is>
          <t>TEST 2. Is the business case robust? Financial Monte Carlo (10,000 runs, mirrors the Model tab incl. pilot-light phasing)</t>
        </is>
      </c>
    </row>
    <row r="50">
      <c r="A50" s="55" t="inlineStr">
        <is>
          <t>Metric</t>
        </is>
      </c>
      <c r="B50" s="55" t="inlineStr">
        <is>
          <t>Value</t>
        </is>
      </c>
      <c r="C50" s="55" t="inlineStr">
        <is>
          <t>Note</t>
        </is>
      </c>
    </row>
    <row r="51">
      <c r="A51" s="3" t="inlineStr">
        <is>
          <t>Deterministic base NPV (check vs Model tab)</t>
        </is>
      </c>
      <c r="B51" s="65" t="n">
        <v>27.01403870465879</v>
      </c>
      <c r="C51" s="54" t="inlineStr">
        <is>
          <t>Should match Dashboard base NPV</t>
        </is>
      </c>
    </row>
    <row r="52">
      <c r="A52" s="3" t="inlineStr">
        <is>
          <t>Mean NPV</t>
        </is>
      </c>
      <c r="B52" s="65" t="n">
        <v>11.82360761131173</v>
      </c>
      <c r="C52" s="54" t="inlineStr">
        <is>
          <t>Rp billion</t>
        </is>
      </c>
    </row>
    <row r="53">
      <c r="A53" s="3" t="inlineStr">
        <is>
          <t>P5 NPV (bad case)</t>
        </is>
      </c>
      <c r="B53" s="65" t="n">
        <v>-19.41291040060244</v>
      </c>
      <c r="C53" s="54" t="inlineStr">
        <is>
          <t>1-in-20 downside</t>
        </is>
      </c>
    </row>
    <row r="54">
      <c r="A54" s="3" t="inlineStr">
        <is>
          <t>Median NPV</t>
        </is>
      </c>
      <c r="B54" s="65" t="n">
        <v>11.7084469092985</v>
      </c>
      <c r="C54" s="54" t="inlineStr"/>
    </row>
    <row r="55">
      <c r="A55" s="3" t="inlineStr">
        <is>
          <t>P95 NPV (good case)</t>
        </is>
      </c>
      <c r="B55" s="65" t="n">
        <v>43.10332192077205</v>
      </c>
      <c r="C55" s="54" t="inlineStr"/>
    </row>
    <row r="56">
      <c r="A56" s="3" t="inlineStr">
        <is>
          <t>Probability NPV &gt; 0</t>
        </is>
      </c>
      <c r="B56" s="64" t="n">
        <v>0.7311</v>
      </c>
      <c r="C56" s="54" t="inlineStr">
        <is>
          <t>Headline for the financial slide</t>
        </is>
      </c>
    </row>
    <row r="57">
      <c r="A57" s="3" t="inlineStr">
        <is>
          <t>Median full run-rate savings (Rp B/yr)</t>
        </is>
      </c>
      <c r="B57" s="65" t="n">
        <v>49.0844126012166</v>
      </c>
      <c r="C57" s="54" t="inlineStr"/>
    </row>
    <row r="58">
      <c r="A58" s="3" t="inlineStr">
        <is>
          <t>Median run-rate as % of conversion cost</t>
        </is>
      </c>
      <c r="B58" s="64" t="n">
        <v>0.08765073678788678</v>
      </c>
      <c r="C58" s="54" t="inlineStr">
        <is>
          <t>vs 16% gap to benchmark</t>
        </is>
      </c>
    </row>
    <row r="60">
      <c r="A60" s="3" t="inlineStr">
        <is>
          <t>TEST 2b. How should the roadmap spend the money? Same 10,000 runs, five strategies (gate = stop scaling if 2027 pilot adoption &lt; 80%; happens in 25% of runs)</t>
        </is>
      </c>
    </row>
    <row r="61">
      <c r="A61" s="55" t="inlineStr">
        <is>
          <t>Strategy</t>
        </is>
      </c>
      <c r="B61" s="55" t="inlineStr">
        <is>
          <t>Mean NPV</t>
        </is>
      </c>
      <c r="C61" s="55" t="inlineStr">
        <is>
          <t>P5 NPV</t>
        </is>
      </c>
      <c r="D61" s="55" t="inlineStr">
        <is>
          <t>Median NPV</t>
        </is>
      </c>
      <c r="E61" s="55" t="inlineStr">
        <is>
          <t>P95 NPV</t>
        </is>
      </c>
      <c r="F61" s="55" t="inlineStr">
        <is>
          <t>P(NPV &gt; 0)</t>
        </is>
      </c>
    </row>
    <row r="62">
      <c r="A62" s="66" t="inlineStr">
        <is>
          <t>A. Front-loaded phasing, no gate</t>
        </is>
      </c>
      <c r="B62" s="67" t="n">
        <v>-0.191332294676973</v>
      </c>
      <c r="C62" s="67" t="n">
        <v>-32.83255089311962</v>
      </c>
      <c r="D62" s="67" t="n">
        <v>-0.3737217276611755</v>
      </c>
      <c r="E62" s="67" t="n">
        <v>32.5044161216826</v>
      </c>
      <c r="F62" s="58" t="n">
        <v>0.4925</v>
      </c>
    </row>
    <row r="63">
      <c r="A63" s="66" t="inlineStr">
        <is>
          <t>B. Front-loaded phasing + gate (65% already spent)</t>
        </is>
      </c>
      <c r="B63" s="67" t="n">
        <v>-3.79967892697686</v>
      </c>
      <c r="C63" s="67" t="n">
        <v>-39.74590657971964</v>
      </c>
      <c r="D63" s="67" t="n">
        <v>-2.962350007986172</v>
      </c>
      <c r="E63" s="67" t="n">
        <v>32.40194504032392</v>
      </c>
      <c r="F63" s="58" t="n">
        <v>0.4518</v>
      </c>
    </row>
    <row r="64">
      <c r="A64" s="66" t="inlineStr">
        <is>
          <t>C. Pilot-light phasing, no gate (as in Model tab)</t>
        </is>
      </c>
      <c r="B64" s="67" t="n">
        <v>11.82360761131173</v>
      </c>
      <c r="C64" s="67" t="n">
        <v>-19.41291040060244</v>
      </c>
      <c r="D64" s="67" t="n">
        <v>11.7084469092985</v>
      </c>
      <c r="E64" s="67" t="n">
        <v>43.10332192077205</v>
      </c>
      <c r="F64" s="58" t="n">
        <v>0.7311</v>
      </c>
    </row>
    <row r="65">
      <c r="A65" s="68" t="inlineStr">
        <is>
          <t>D. Pilot-light phasing + gate</t>
        </is>
      </c>
      <c r="B65" s="69" t="n">
        <v>15.05090030021514</v>
      </c>
      <c r="C65" s="69" t="n">
        <v>-8.411626796801812</v>
      </c>
      <c r="D65" s="69" t="n">
        <v>13.32040175184729</v>
      </c>
      <c r="E65" s="69" t="n">
        <v>43.06772269056702</v>
      </c>
      <c r="F65" s="61" t="n">
        <v>0.8595</v>
      </c>
    </row>
    <row r="66">
      <c r="A66" s="66" t="inlineStr">
        <is>
          <t>E. D + remaining equipment life valued at book</t>
        </is>
      </c>
      <c r="B66" s="67" t="n">
        <v>36.01053481960803</v>
      </c>
      <c r="C66" s="67" t="n">
        <v>6.476777490438207</v>
      </c>
      <c r="D66" s="67" t="n">
        <v>36.96085240343595</v>
      </c>
      <c r="E66" s="67" t="n">
        <v>67.48368978517901</v>
      </c>
      <c r="F66" s="58" t="n">
        <v>0.9938</v>
      </c>
    </row>
    <row r="67">
      <c r="A67" s="66" t="inlineStr">
        <is>
          <t>F. D but savings ramp one year slower (stress test)</t>
        </is>
      </c>
      <c r="B67" s="67" t="n">
        <v>-7.534233621168762</v>
      </c>
      <c r="C67" s="67" t="n">
        <v>-31.89940806088983</v>
      </c>
      <c r="D67" s="67" t="n">
        <v>-5.542507323532465</v>
      </c>
      <c r="E67" s="67" t="n">
        <v>12.32550108470081</v>
      </c>
      <c r="F67" s="58" t="n">
        <v>0.3242</v>
      </c>
    </row>
    <row r="68">
      <c r="A68" s="66" t="inlineStr">
        <is>
          <t>G. F + remaining equipment life valued at book</t>
        </is>
      </c>
      <c r="B68" s="67" t="n">
        <v>13.42540089822414</v>
      </c>
      <c r="C68" s="67" t="n">
        <v>-3.778779125254701</v>
      </c>
      <c r="D68" s="67" t="n">
        <v>11.92716410770895</v>
      </c>
      <c r="E68" s="67" t="n">
        <v>35.1241416528562</v>
      </c>
      <c r="F68" s="58" t="n">
        <v>0.879</v>
      </c>
    </row>
    <row r="69" ht="30" customHeight="1">
      <c r="A69" s="62" t="inlineStr">
        <is>
          <t>Pilot-light phasing: 10% / 15% / 40% / 25% / 10% of capex in 2026-2030. Ramp-up kept the same to isolate the effect of phasing; if scaling later also delays savings, the gain is smaller.</t>
        </is>
      </c>
    </row>
    <row r="70" ht="58" customHeight="1">
      <c r="A70" s="9" t="inlineStr">
        <is>
          <t>Reading: a gate only protects value if little money is spent before it. Gate after heavy spending (B) destroys value; pilot-light + gate (D) is the design to defend in SQ3. Valuing equipment life beyond 2030 (E) is legitimate but state it openly. Stress test (F): if savings arrive a year late, P(NPV&gt;0) falls to 32% (88% if remaining equipment life is valued, G). Speed of the pilot is the make-or-break factor: quick wins in 2026-27 belong in the roadmap.</t>
        </is>
      </c>
    </row>
    <row r="71" ht="45" customHeight="1">
      <c r="A71" s="62" t="inlineStr">
        <is>
          <t>Ranges used (triangular low / mode / high): scrap 20/35/50%, maintenance 5/10/15%, NVA 15/30/45%, energy 2/5/8%, variant cost 20/35/50%, investment 60/80/110, running 8/9/12%, training 2/2.5/3, variant projects 2/3/5, cost per project 5/10/15, cash realization 30/50/70%, adoption 60/100/100%, labor share 35/40/45%.</t>
        </is>
      </c>
    </row>
    <row r="73">
      <c r="A73" s="3" t="inlineStr">
        <is>
          <t>NPV distribution (histogram)</t>
        </is>
      </c>
    </row>
    <row r="74">
      <c r="A74" s="55" t="inlineStr">
        <is>
          <t>NPV bin from (Rp B)</t>
        </is>
      </c>
      <c r="B74" s="55" t="inlineStr">
        <is>
          <t>Runs</t>
        </is>
      </c>
    </row>
    <row r="75">
      <c r="A75" s="65" t="n">
        <v>-51.6</v>
      </c>
      <c r="B75" s="70" t="n">
        <v>11</v>
      </c>
    </row>
    <row r="76">
      <c r="A76" s="65" t="n">
        <v>-41.6</v>
      </c>
      <c r="B76" s="70" t="n">
        <v>73</v>
      </c>
    </row>
    <row r="77">
      <c r="A77" s="65" t="n">
        <v>-31.5</v>
      </c>
      <c r="B77" s="70" t="n">
        <v>294</v>
      </c>
    </row>
    <row r="78">
      <c r="A78" s="65" t="n">
        <v>-21.5</v>
      </c>
      <c r="B78" s="70" t="n">
        <v>700</v>
      </c>
    </row>
    <row r="79">
      <c r="A79" s="65" t="n">
        <v>-11.5</v>
      </c>
      <c r="B79" s="70" t="n">
        <v>1367</v>
      </c>
    </row>
    <row r="80">
      <c r="A80" s="65" t="n">
        <v>-1.4</v>
      </c>
      <c r="B80" s="70" t="n">
        <v>1920</v>
      </c>
    </row>
    <row r="81">
      <c r="A81" s="65" t="n">
        <v>8.6</v>
      </c>
      <c r="B81" s="70" t="n">
        <v>2028</v>
      </c>
    </row>
    <row r="82">
      <c r="A82" s="65" t="n">
        <v>18.6</v>
      </c>
      <c r="B82" s="70" t="n">
        <v>1753</v>
      </c>
    </row>
    <row r="83">
      <c r="A83" s="65" t="n">
        <v>28.6</v>
      </c>
      <c r="B83" s="70" t="n">
        <v>1056</v>
      </c>
    </row>
    <row r="84">
      <c r="A84" s="65" t="n">
        <v>38.7</v>
      </c>
      <c r="B84" s="70" t="n">
        <v>560</v>
      </c>
    </row>
    <row r="85">
      <c r="A85" s="65" t="n">
        <v>48.7</v>
      </c>
      <c r="B85" s="70" t="n">
        <v>182</v>
      </c>
    </row>
    <row r="86">
      <c r="A86" s="65" t="n">
        <v>58.7</v>
      </c>
      <c r="B86" s="70" t="n">
        <v>43</v>
      </c>
    </row>
    <row r="87">
      <c r="A87" s="65" t="n">
        <v>68.8</v>
      </c>
      <c r="B87" s="70" t="n">
        <v>10</v>
      </c>
    </row>
    <row r="88">
      <c r="A88" s="65" t="n">
        <v>78.8</v>
      </c>
      <c r="B88" s="70" t="n">
        <v>2</v>
      </c>
    </row>
    <row r="89">
      <c r="A89" s="65" t="n">
        <v>88.8</v>
      </c>
      <c r="B89" s="70" t="n">
        <v>0</v>
      </c>
    </row>
    <row r="90">
      <c r="A90" s="65" t="n">
        <v>98.90000000000001</v>
      </c>
      <c r="B90" s="70" t="n">
        <v>1</v>
      </c>
    </row>
    <row r="92">
      <c r="A92" s="3" t="inlineStr">
        <is>
          <t>TEST 3. Which assumption matters most? Tornado (base case, one at a time)</t>
        </is>
      </c>
    </row>
    <row r="93">
      <c r="A93" s="55" t="inlineStr">
        <is>
          <t>Driver</t>
        </is>
      </c>
      <c r="B93" s="55" t="inlineStr">
        <is>
          <t>Low input</t>
        </is>
      </c>
      <c r="C93" s="55" t="inlineStr">
        <is>
          <t>High input</t>
        </is>
      </c>
      <c r="D93" s="55" t="inlineStr">
        <is>
          <t>NPV at low</t>
        </is>
      </c>
      <c r="E93" s="55" t="inlineStr">
        <is>
          <t>NPV at high</t>
        </is>
      </c>
      <c r="F93" s="55" t="inlineStr">
        <is>
          <t>Swing</t>
        </is>
      </c>
    </row>
    <row r="94">
      <c r="A94" s="71" t="inlineStr">
        <is>
          <t>Investment (Rp B)</t>
        </is>
      </c>
      <c r="B94" s="72" t="n">
        <v>110</v>
      </c>
      <c r="C94" s="72" t="n">
        <v>60</v>
      </c>
      <c r="D94" s="67" t="n">
        <v>-1.497910926203485</v>
      </c>
      <c r="E94" s="67" t="n">
        <v>46.02200512523363</v>
      </c>
      <c r="F94" s="67" t="n">
        <v>47.51991605143711</v>
      </c>
    </row>
    <row r="95">
      <c r="A95" s="71" t="inlineStr">
        <is>
          <t>Adoption achieved</t>
        </is>
      </c>
      <c r="B95" s="58" t="n">
        <v>0.6</v>
      </c>
      <c r="C95" s="72" t="n">
        <v>1</v>
      </c>
      <c r="D95" s="67" t="n">
        <v>-17.99510981953292</v>
      </c>
      <c r="E95" s="67" t="n">
        <v>27.01403870465879</v>
      </c>
      <c r="F95" s="67" t="n">
        <v>45.00914852419172</v>
      </c>
    </row>
    <row r="96">
      <c r="A96" s="71" t="inlineStr">
        <is>
          <t>Scrap reduction</t>
        </is>
      </c>
      <c r="B96" s="58" t="n">
        <v>0.2</v>
      </c>
      <c r="C96" s="58" t="n">
        <v>0.5</v>
      </c>
      <c r="D96" s="67" t="n">
        <v>7.376539348554191</v>
      </c>
      <c r="E96" s="67" t="n">
        <v>46.65153806076337</v>
      </c>
      <c r="F96" s="67" t="n">
        <v>39.27499871220918</v>
      </c>
    </row>
    <row r="97">
      <c r="A97" s="71" t="inlineStr">
        <is>
          <t>Variant projects / yr</t>
        </is>
      </c>
      <c r="B97" s="72" t="n">
        <v>2</v>
      </c>
      <c r="C97" s="72" t="n">
        <v>5</v>
      </c>
      <c r="D97" s="67" t="n">
        <v>18.83174730628188</v>
      </c>
      <c r="E97" s="67" t="n">
        <v>43.37862150141261</v>
      </c>
      <c r="F97" s="67" t="n">
        <v>24.54687419513073</v>
      </c>
    </row>
    <row r="98">
      <c r="A98" s="71" t="inlineStr">
        <is>
          <t>Cost per variant project</t>
        </is>
      </c>
      <c r="B98" s="72" t="n">
        <v>5</v>
      </c>
      <c r="C98" s="72" t="n">
        <v>15</v>
      </c>
      <c r="D98" s="67" t="n">
        <v>14.74060160709343</v>
      </c>
      <c r="E98" s="67" t="n">
        <v>39.28747580222415</v>
      </c>
      <c r="F98" s="67" t="n">
        <v>24.54687419513073</v>
      </c>
    </row>
    <row r="99">
      <c r="A99" s="71" t="inlineStr">
        <is>
          <t>Variant cost reduction</t>
        </is>
      </c>
      <c r="B99" s="58" t="n">
        <v>0.2</v>
      </c>
      <c r="C99" s="58" t="n">
        <v>0.5</v>
      </c>
      <c r="D99" s="67" t="n">
        <v>16.49394976388848</v>
      </c>
      <c r="E99" s="67" t="n">
        <v>37.5341276454291</v>
      </c>
      <c r="F99" s="67" t="n">
        <v>21.04017788154063</v>
      </c>
    </row>
    <row r="100">
      <c r="A100" s="71" t="inlineStr">
        <is>
          <t>Operator NVA eliminated</t>
        </is>
      </c>
      <c r="B100" s="58" t="n">
        <v>0.15</v>
      </c>
      <c r="C100" s="58" t="n">
        <v>0.45</v>
      </c>
      <c r="D100" s="67" t="n">
        <v>18.37353898797276</v>
      </c>
      <c r="E100" s="67" t="n">
        <v>35.6545384213448</v>
      </c>
      <c r="F100" s="67" t="n">
        <v>17.28099943337204</v>
      </c>
    </row>
    <row r="101">
      <c r="A101" s="71" t="inlineStr">
        <is>
          <t>Maintenance reduction</t>
        </is>
      </c>
      <c r="B101" s="58" t="n">
        <v>0.05</v>
      </c>
      <c r="C101" s="58" t="n">
        <v>0.15</v>
      </c>
      <c r="D101" s="67" t="n">
        <v>18.50445565034678</v>
      </c>
      <c r="E101" s="67" t="n">
        <v>35.52362175897076</v>
      </c>
      <c r="F101" s="67" t="n">
        <v>17.01916610862397</v>
      </c>
    </row>
    <row r="102">
      <c r="A102" s="71" t="inlineStr">
        <is>
          <t>Energy reduction</t>
        </is>
      </c>
      <c r="B102" s="58" t="n">
        <v>0.02</v>
      </c>
      <c r="C102" s="58" t="n">
        <v>0.08</v>
      </c>
      <c r="D102" s="67" t="n">
        <v>22.30103885919367</v>
      </c>
      <c r="E102" s="67" t="n">
        <v>31.72703855012389</v>
      </c>
      <c r="F102" s="67" t="n">
        <v>9.425999690930212</v>
      </c>
    </row>
    <row r="103">
      <c r="A103" s="71" t="inlineStr">
        <is>
          <t>Running cost %</t>
        </is>
      </c>
      <c r="B103" s="58" t="n">
        <v>0.12</v>
      </c>
      <c r="C103" s="58" t="n">
        <v>0.08</v>
      </c>
      <c r="D103" s="67" t="n">
        <v>23.77962476124955</v>
      </c>
      <c r="E103" s="67" t="n">
        <v>30.24845264806801</v>
      </c>
      <c r="F103" s="67" t="n">
        <v>6.468827886818463</v>
      </c>
    </row>
    <row r="104">
      <c r="A104" s="3" t="inlineStr">
        <is>
          <t>Use the top 2-3 drivers as the assumptions you defend hardest in Q&amp;A, and as the KPIs you track first in the pilot.</t>
        </is>
      </c>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H104"/>
  <sheetViews>
    <sheetView workbookViewId="0">
      <selection activeCell="A1" sqref="A1"/>
    </sheetView>
  </sheetViews>
  <sheetFormatPr baseColWidth="8" defaultRowHeight="15"/>
  <cols>
    <col width="62" customWidth="1" min="1" max="1"/>
    <col width="18" customWidth="1" min="2" max="2"/>
    <col width="18" customWidth="1" min="3" max="3"/>
    <col width="18" customWidth="1" min="4" max="4"/>
    <col width="20" customWidth="1" min="5" max="5"/>
    <col width="14" customWidth="1" min="6" max="6"/>
    <col width="14" customWidth="1" min="7" max="7"/>
    <col width="16" customWidth="1" min="8" max="8"/>
  </cols>
  <sheetData>
    <row r="1">
      <c r="A1" s="1" t="inlineStr">
        <is>
          <t>Idea tests: simulation results (values produced by run_tests.py, not formulas)</t>
        </is>
      </c>
    </row>
    <row r="2">
      <c r="A2" s="54" t="inlineStr">
        <is>
          <t>Re-run run_tests.py after changing assumptions. Process parameters below are illustrative assumptions, not TMMIN data: present them as a mechanism test, and show the sensitivity.</t>
        </is>
      </c>
    </row>
    <row r="4">
      <c r="A4" s="3" t="inlineStr">
        <is>
          <t>TEST 1. Does closing the quality loop beat adding technology alone? (sealer drift -&gt; inspection -&gt; feedback, 1 year, 175,000 units, 300 runs)</t>
        </is>
      </c>
    </row>
    <row r="5">
      <c r="A5" s="55" t="inlineStr">
        <is>
          <t>Scenario</t>
        </is>
      </c>
      <c r="B5" s="55" t="inlineStr">
        <is>
          <t>Defective units / yr</t>
        </is>
      </c>
      <c r="C5" s="55" t="inlineStr">
        <is>
          <t>Scrapped units / yr</t>
        </is>
      </c>
      <c r="D5" s="55" t="inlineStr">
        <is>
          <t>Escaped defects / yr</t>
        </is>
      </c>
      <c r="E5" s="55" t="inlineStr">
        <is>
          <t>Units built while drifting</t>
        </is>
      </c>
      <c r="F5" s="55" t="inlineStr">
        <is>
          <t>Scrap vs today</t>
        </is>
      </c>
      <c r="G5" s="55" t="inlineStr">
        <is>
          <t>Escapes vs today</t>
        </is>
      </c>
      <c r="H5" s="55" t="inlineStr">
        <is>
          <t>Scrap P5-P95</t>
        </is>
      </c>
    </row>
    <row r="6">
      <c r="A6" s="56" t="inlineStr">
        <is>
          <t>1. Today: visual at final inspection, manual feedback</t>
        </is>
      </c>
      <c r="B6" s="57" t="n">
        <v>4266.68</v>
      </c>
      <c r="C6" s="57" t="n">
        <v>1088.524</v>
      </c>
      <c r="D6" s="57" t="n">
        <v>638.2666666666667</v>
      </c>
      <c r="E6" s="57" t="n">
        <v>15796.09333333333</v>
      </c>
      <c r="F6" s="58" t="n">
        <v>0</v>
      </c>
      <c r="G6" s="58" t="n">
        <v>0</v>
      </c>
      <c r="H6" s="57" t="inlineStr">
        <is>
          <t>835 - 1,365</t>
        </is>
      </c>
    </row>
    <row r="7">
      <c r="A7" s="56" t="inlineStr">
        <is>
          <t>2. Better camera at end-of-line only (tech, no loop)</t>
        </is>
      </c>
      <c r="B7" s="57" t="n">
        <v>4265.323333333334</v>
      </c>
      <c r="C7" s="57" t="n">
        <v>1215.776</v>
      </c>
      <c r="D7" s="57" t="n">
        <v>212.7366666666667</v>
      </c>
      <c r="E7" s="57" t="n">
        <v>15793.25666666667</v>
      </c>
      <c r="F7" s="58" t="n">
        <v>0.1169032561523677</v>
      </c>
      <c r="G7" s="58" t="n">
        <v>-0.6666962607060789</v>
      </c>
      <c r="H7" s="57" t="inlineStr">
        <is>
          <t>910 - 1,492</t>
        </is>
      </c>
    </row>
    <row r="8">
      <c r="A8" s="56" t="inlineStr">
        <is>
          <t>3. Closed loop at sealer, 31% of alerts dismissed (as today)</t>
        </is>
      </c>
      <c r="B8" s="57" t="n">
        <v>1652.95</v>
      </c>
      <c r="C8" s="57" t="n">
        <v>362.1536666666667</v>
      </c>
      <c r="D8" s="57" t="n">
        <v>203.26</v>
      </c>
      <c r="E8" s="57" t="n">
        <v>5247.72</v>
      </c>
      <c r="F8" s="58" t="n">
        <v>-0.6672984089770491</v>
      </c>
      <c r="G8" s="58" t="n">
        <v>-0.6815437643618132</v>
      </c>
      <c r="H8" s="57" t="inlineStr">
        <is>
          <t>216 - 543</t>
        </is>
      </c>
    </row>
    <row r="9">
      <c r="A9" s="59" t="inlineStr">
        <is>
          <t>4. Closed loop with people-centred design (10% dismissed)</t>
        </is>
      </c>
      <c r="B9" s="60" t="n">
        <v>908.3233333333334</v>
      </c>
      <c r="C9" s="60" t="n">
        <v>166.8633333333333</v>
      </c>
      <c r="D9" s="60" t="n">
        <v>88.00666666666666</v>
      </c>
      <c r="E9" s="60" t="n">
        <v>2257.006666666667</v>
      </c>
      <c r="F9" s="61" t="n">
        <v>-0.8467067943992661</v>
      </c>
      <c r="G9" s="61" t="n">
        <v>-0.862116147900564</v>
      </c>
      <c r="H9" s="60" t="inlineStr">
        <is>
          <t>83 - 270</t>
        </is>
      </c>
    </row>
    <row r="11">
      <c r="A11" s="3" t="inlineStr">
        <is>
          <t>What this shows</t>
        </is>
      </c>
    </row>
    <row r="12" ht="28" customHeight="1">
      <c r="A12" s="62" t="inlineStr">
        <is>
          <t>- A better camera at end-of-line alone changes scrap by +12% while escapes fall 67%: it catches more bad units, but too late, so escapes turn into scrap. It does not prevent defects.</t>
        </is>
      </c>
    </row>
    <row r="13" ht="28" customHeight="1">
      <c r="A13" s="62" t="inlineStr">
        <is>
          <t>- Closing the loop right after the sealer cuts scrap 85% and escapes 86%, because a drift is stopped within a few units instead of hundreds.</t>
        </is>
      </c>
    </row>
    <row r="14" ht="28" customHeight="1">
      <c r="A14" s="62" t="inlineStr">
        <is>
          <t>- If operators dismiss alerts in 31% of drift episodes (today's override rate), scrap reduction falls to 67%. Trust, training and alert design are part of the value, not an add-on.</t>
        </is>
      </c>
    </row>
    <row r="15" ht="28" customHeight="1">
      <c r="A15" s="62" t="inlineStr">
        <is>
          <t>- Plant-wide: if the pilot scope causes 40% of plant scrap (team assumption), the plant-wide scrap cut is about 34%. Compare with the 20% / 35% / 50% lever in Assumptions.</t>
        </is>
      </c>
    </row>
    <row r="16" ht="28" customHeight="1">
      <c r="A16" s="62" t="inlineStr">
        <is>
          <t>- Deck message: value comes from redesigning the system (where the check sits, how fast the signal travels, who acts on it), not from buying the device. That is exactly the case ask.</t>
        </is>
      </c>
    </row>
    <row r="18">
      <c r="A18" s="3" t="inlineStr">
        <is>
          <t>Process assumptions used (illustrative, change and re-run)</t>
        </is>
      </c>
    </row>
    <row r="19">
      <c r="A19" s="54" t="inlineStr">
        <is>
          <t>Defect probability per unit, stable sealer</t>
        </is>
      </c>
      <c r="B19" s="20" t="n">
        <v>0.002</v>
      </c>
    </row>
    <row r="20">
      <c r="A20" s="54" t="inlineStr">
        <is>
          <t>Average units between drift events</t>
        </is>
      </c>
      <c r="B20" s="63" t="n">
        <v>5000</v>
      </c>
    </row>
    <row r="21">
      <c r="A21" s="54" t="inlineStr">
        <is>
          <t>Defect probability per unit while drifting</t>
        </is>
      </c>
      <c r="B21" s="20" t="n">
        <v>0.25</v>
      </c>
    </row>
    <row r="22">
      <c r="A22" s="54" t="inlineStr">
        <is>
          <t>Manual visual detection rate at final inspection</t>
        </is>
      </c>
      <c r="B22" s="20" t="n">
        <v>0.85</v>
      </c>
    </row>
    <row r="23">
      <c r="A23" s="54" t="inlineStr">
        <is>
          <t>Share of sealer defect modes the in-line AI camera can see</t>
        </is>
      </c>
      <c r="B23" s="20" t="n">
        <v>0.7</v>
      </c>
    </row>
    <row r="24">
      <c r="A24" s="54" t="inlineStr">
        <is>
          <t>Units between sealer and today's final inspection</t>
        </is>
      </c>
      <c r="B24" s="63" t="n">
        <v>300</v>
      </c>
    </row>
    <row r="25">
      <c r="A25" s="54" t="inlineStr">
        <is>
          <t>Units built before manual feedback reaches the sealer</t>
        </is>
      </c>
      <c r="B25" s="63" t="n">
        <v>150</v>
      </c>
    </row>
    <row r="26">
      <c r="A26" s="54" t="inlineStr">
        <is>
          <t>Share of late-found defects scrapped</t>
        </is>
      </c>
      <c r="B26" s="20" t="n">
        <v>0.3</v>
      </c>
    </row>
    <row r="27">
      <c r="A27" s="54" t="inlineStr">
        <is>
          <t>Share of early-found defects scrapped</t>
        </is>
      </c>
      <c r="B27" s="20" t="n">
        <v>0.05</v>
      </c>
    </row>
    <row r="28">
      <c r="A28" s="54" t="inlineStr">
        <is>
          <t>Share of plant scrap from the pilot scope (team assumption)</t>
        </is>
      </c>
      <c r="B28" s="20" t="n">
        <v>0.4</v>
      </c>
    </row>
    <row r="29" ht="28" customHeight="1">
      <c r="A29" s="62" t="inlineStr">
        <is>
          <t>In-line check: 5 units after sealer, automatic feedback within 10 units, 90% detection on visible defect modes (case: AI camera in validation to Oct 2026).</t>
        </is>
      </c>
    </row>
    <row r="31">
      <c r="A31" s="3" t="inlineStr">
        <is>
          <t>Robustness: closed-loop (scenario 4) scrap reduction vs today when each assumption changes</t>
        </is>
      </c>
    </row>
    <row r="32">
      <c r="A32" s="55" t="inlineStr">
        <is>
          <t>Assumption</t>
        </is>
      </c>
      <c r="B32" s="55" t="inlineStr">
        <is>
          <t>Low</t>
        </is>
      </c>
      <c r="C32" s="55" t="inlineStr">
        <is>
          <t>Reduction</t>
        </is>
      </c>
      <c r="D32" s="55" t="inlineStr">
        <is>
          <t>Base</t>
        </is>
      </c>
      <c r="E32" s="55" t="inlineStr">
        <is>
          <t>Reduction</t>
        </is>
      </c>
      <c r="F32" s="55" t="inlineStr">
        <is>
          <t>High</t>
        </is>
      </c>
      <c r="G32" s="55" t="inlineStr">
        <is>
          <t>Reduction</t>
        </is>
      </c>
    </row>
    <row r="33">
      <c r="A33" s="3" t="inlineStr">
        <is>
          <t>AI camera coverage of defect modes</t>
        </is>
      </c>
      <c r="B33" s="20" t="n">
        <v>0.5</v>
      </c>
      <c r="C33" s="64" t="n">
        <v>0.8247043005741556</v>
      </c>
      <c r="D33" s="20" t="n">
        <v>0.7</v>
      </c>
      <c r="E33" s="64" t="n">
        <v>0.8468422609923756</v>
      </c>
      <c r="F33" s="20" t="n">
        <v>0.9</v>
      </c>
      <c r="G33" s="64" t="n">
        <v>0.8667088181512177</v>
      </c>
    </row>
    <row r="34">
      <c r="A34" s="3" t="inlineStr">
        <is>
          <t>Drift defect rate</t>
        </is>
      </c>
      <c r="B34" s="20" t="n">
        <v>0.1</v>
      </c>
      <c r="C34" s="64" t="n">
        <v>0.8026017993273447</v>
      </c>
      <c r="D34" s="20" t="n">
        <v>0.25</v>
      </c>
      <c r="E34" s="64" t="n">
        <v>0.8479906256107048</v>
      </c>
      <c r="F34" s="20" t="n">
        <v>0.4</v>
      </c>
      <c r="G34" s="64" t="n">
        <v>0.8649243431242232</v>
      </c>
    </row>
    <row r="35">
      <c r="A35" s="3" t="inlineStr">
        <is>
          <t>Units between drift events</t>
        </is>
      </c>
      <c r="B35" s="63" t="n">
        <v>2500</v>
      </c>
      <c r="C35" s="64" t="n">
        <v>0.8634074536698797</v>
      </c>
      <c r="D35" s="63" t="n">
        <v>5000</v>
      </c>
      <c r="E35" s="64" t="n">
        <v>0.8582510378017658</v>
      </c>
      <c r="F35" s="63" t="n">
        <v>10000</v>
      </c>
      <c r="G35" s="64" t="n">
        <v>0.8336816505910225</v>
      </c>
    </row>
    <row r="36">
      <c r="A36" s="3" t="inlineStr">
        <is>
          <t>Late-found scrap share</t>
        </is>
      </c>
      <c r="B36" s="20" t="n">
        <v>0.15</v>
      </c>
      <c r="C36" s="64" t="n">
        <v>0.8314626883200975</v>
      </c>
      <c r="D36" s="20" t="n">
        <v>0.3</v>
      </c>
      <c r="E36" s="64" t="n">
        <v>0.8538779573335564</v>
      </c>
      <c r="F36" s="20" t="n">
        <v>0.5</v>
      </c>
      <c r="G36" s="64" t="n">
        <v>0.8501771115300518</v>
      </c>
    </row>
    <row r="37">
      <c r="A37" s="3" t="inlineStr">
        <is>
          <t>Units from sealer to today's inspection</t>
        </is>
      </c>
      <c r="B37" s="63" t="n">
        <v>100</v>
      </c>
      <c r="C37" s="64" t="n">
        <v>0.8111230466252334</v>
      </c>
      <c r="D37" s="63" t="n">
        <v>300</v>
      </c>
      <c r="E37" s="64" t="n">
        <v>0.8492533988756621</v>
      </c>
      <c r="F37" s="63" t="n">
        <v>600</v>
      </c>
      <c r="G37" s="64" t="n">
        <v>0.8737976071910339</v>
      </c>
    </row>
    <row r="38">
      <c r="A38" s="3" t="inlineStr">
        <is>
          <t>Lowest scrap reduction across all tested cases: 80%. The mechanism holds even with pessimistic process assumptions.</t>
        </is>
      </c>
    </row>
    <row r="40">
      <c r="A40" s="3" t="inlineStr">
        <is>
          <t>People test: how much value is lost when operators dismiss alerts?</t>
        </is>
      </c>
    </row>
    <row r="41">
      <c r="A41" s="55" t="inlineStr">
        <is>
          <t>Share of drift episodes where alerts are dismissed</t>
        </is>
      </c>
      <c r="B41" s="55" t="inlineStr">
        <is>
          <t>Scrap reduction vs today</t>
        </is>
      </c>
    </row>
    <row r="42">
      <c r="A42" s="20" t="n">
        <v>0</v>
      </c>
      <c r="B42" s="64" t="n">
        <v>0.9392930243154951</v>
      </c>
    </row>
    <row r="43">
      <c r="A43" s="20" t="n">
        <v>0.1</v>
      </c>
      <c r="B43" s="64" t="n">
        <v>0.8445760803926541</v>
      </c>
    </row>
    <row r="44">
      <c r="A44" s="20" t="n">
        <v>0.2</v>
      </c>
      <c r="B44" s="64" t="n">
        <v>0.7497194978398884</v>
      </c>
    </row>
    <row r="45">
      <c r="A45" s="20" t="n">
        <v>0.31</v>
      </c>
      <c r="B45" s="64" t="n">
        <v>0.6431060163426193</v>
      </c>
    </row>
    <row r="46">
      <c r="A46" s="20" t="n">
        <v>0.5</v>
      </c>
      <c r="B46" s="64" t="n">
        <v>0.4964125733562145</v>
      </c>
    </row>
    <row r="47" ht="28" customHeight="1">
      <c r="A47" s="62" t="inlineStr">
        <is>
          <t>Exhibit 6B says 31% of operators frequently override alerts today. This chart is the quantified case for the people part of the idea.</t>
        </is>
      </c>
    </row>
    <row r="49">
      <c r="A49" s="3" t="inlineStr">
        <is>
          <t>TEST 2. Is the business case robust? Financial Monte Carlo (10,000 runs, mirrors the Model tab incl. pilot-light phasing)</t>
        </is>
      </c>
    </row>
    <row r="50">
      <c r="A50" s="55" t="inlineStr">
        <is>
          <t>Metric</t>
        </is>
      </c>
      <c r="B50" s="55" t="inlineStr">
        <is>
          <t>Value</t>
        </is>
      </c>
      <c r="C50" s="55" t="inlineStr">
        <is>
          <t>Note</t>
        </is>
      </c>
    </row>
    <row r="51">
      <c r="A51" s="3" t="inlineStr">
        <is>
          <t>Deterministic base NPV (check vs Model tab)</t>
        </is>
      </c>
      <c r="B51" s="65" t="n">
        <v>27.01403870465879</v>
      </c>
      <c r="C51" s="54" t="inlineStr">
        <is>
          <t>Should match Dashboard base NPV</t>
        </is>
      </c>
    </row>
    <row r="52">
      <c r="A52" s="3" t="inlineStr">
        <is>
          <t>Mean NPV</t>
        </is>
      </c>
      <c r="B52" s="65" t="n">
        <v>11.82360761131173</v>
      </c>
      <c r="C52" s="54" t="inlineStr">
        <is>
          <t>Rp billion</t>
        </is>
      </c>
    </row>
    <row r="53">
      <c r="A53" s="3" t="inlineStr">
        <is>
          <t>P5 NPV (bad case)</t>
        </is>
      </c>
      <c r="B53" s="65" t="n">
        <v>-19.41291040060244</v>
      </c>
      <c r="C53" s="54" t="inlineStr">
        <is>
          <t>1-in-20 downside</t>
        </is>
      </c>
    </row>
    <row r="54">
      <c r="A54" s="3" t="inlineStr">
        <is>
          <t>Median NPV</t>
        </is>
      </c>
      <c r="B54" s="65" t="n">
        <v>11.7084469092985</v>
      </c>
      <c r="C54" s="54" t="inlineStr"/>
    </row>
    <row r="55">
      <c r="A55" s="3" t="inlineStr">
        <is>
          <t>P95 NPV (good case)</t>
        </is>
      </c>
      <c r="B55" s="65" t="n">
        <v>43.10332192077205</v>
      </c>
      <c r="C55" s="54" t="inlineStr"/>
    </row>
    <row r="56">
      <c r="A56" s="3" t="inlineStr">
        <is>
          <t>Probability NPV &gt; 0</t>
        </is>
      </c>
      <c r="B56" s="64" t="n">
        <v>0.7311</v>
      </c>
      <c r="C56" s="54" t="inlineStr">
        <is>
          <t>Headline for the financial slide</t>
        </is>
      </c>
    </row>
    <row r="57">
      <c r="A57" s="3" t="inlineStr">
        <is>
          <t>Median full run-rate savings (Rp B/yr)</t>
        </is>
      </c>
      <c r="B57" s="65" t="n">
        <v>49.0844126012166</v>
      </c>
      <c r="C57" s="54" t="inlineStr"/>
    </row>
    <row r="58">
      <c r="A58" s="3" t="inlineStr">
        <is>
          <t>Median run-rate as % of conversion cost</t>
        </is>
      </c>
      <c r="B58" s="64" t="n">
        <v>0.08765073678788678</v>
      </c>
      <c r="C58" s="54" t="inlineStr">
        <is>
          <t>vs 16% gap to benchmark</t>
        </is>
      </c>
    </row>
    <row r="60">
      <c r="A60" s="3" t="inlineStr">
        <is>
          <t>TEST 2b. How should the roadmap spend the money? Same 10,000 runs, five strategies (gate = stop scaling if 2027 pilot adoption &lt; 80%; happens in 25% of runs)</t>
        </is>
      </c>
    </row>
    <row r="61">
      <c r="A61" s="55" t="inlineStr">
        <is>
          <t>Strategy</t>
        </is>
      </c>
      <c r="B61" s="55" t="inlineStr">
        <is>
          <t>Mean NPV</t>
        </is>
      </c>
      <c r="C61" s="55" t="inlineStr">
        <is>
          <t>P5 NPV</t>
        </is>
      </c>
      <c r="D61" s="55" t="inlineStr">
        <is>
          <t>Median NPV</t>
        </is>
      </c>
      <c r="E61" s="55" t="inlineStr">
        <is>
          <t>P95 NPV</t>
        </is>
      </c>
      <c r="F61" s="55" t="inlineStr">
        <is>
          <t>P(NPV &gt; 0)</t>
        </is>
      </c>
    </row>
    <row r="62">
      <c r="A62" s="66" t="inlineStr">
        <is>
          <t>A. Front-loaded phasing, no gate</t>
        </is>
      </c>
      <c r="B62" s="67" t="n">
        <v>-0.191332294676973</v>
      </c>
      <c r="C62" s="67" t="n">
        <v>-32.83255089311962</v>
      </c>
      <c r="D62" s="67" t="n">
        <v>-0.3737217276611755</v>
      </c>
      <c r="E62" s="67" t="n">
        <v>32.5044161216826</v>
      </c>
      <c r="F62" s="58" t="n">
        <v>0.4925</v>
      </c>
    </row>
    <row r="63">
      <c r="A63" s="66" t="inlineStr">
        <is>
          <t>B. Front-loaded phasing + gate (65% already spent)</t>
        </is>
      </c>
      <c r="B63" s="67" t="n">
        <v>-3.79967892697686</v>
      </c>
      <c r="C63" s="67" t="n">
        <v>-39.74590657971964</v>
      </c>
      <c r="D63" s="67" t="n">
        <v>-2.962350007986172</v>
      </c>
      <c r="E63" s="67" t="n">
        <v>32.40194504032392</v>
      </c>
      <c r="F63" s="58" t="n">
        <v>0.4518</v>
      </c>
    </row>
    <row r="64">
      <c r="A64" s="66" t="inlineStr">
        <is>
          <t>C. Pilot-light phasing, no gate (as in Model tab)</t>
        </is>
      </c>
      <c r="B64" s="67" t="n">
        <v>11.82360761131173</v>
      </c>
      <c r="C64" s="67" t="n">
        <v>-19.41291040060244</v>
      </c>
      <c r="D64" s="67" t="n">
        <v>11.7084469092985</v>
      </c>
      <c r="E64" s="67" t="n">
        <v>43.10332192077205</v>
      </c>
      <c r="F64" s="58" t="n">
        <v>0.7311</v>
      </c>
    </row>
    <row r="65">
      <c r="A65" s="68" t="inlineStr">
        <is>
          <t>D. Pilot-light phasing + gate</t>
        </is>
      </c>
      <c r="B65" s="69" t="n">
        <v>15.05090030021514</v>
      </c>
      <c r="C65" s="69" t="n">
        <v>-8.411626796801812</v>
      </c>
      <c r="D65" s="69" t="n">
        <v>13.32040175184729</v>
      </c>
      <c r="E65" s="69" t="n">
        <v>43.06772269056702</v>
      </c>
      <c r="F65" s="61" t="n">
        <v>0.8595</v>
      </c>
    </row>
    <row r="66">
      <c r="A66" s="66" t="inlineStr">
        <is>
          <t>E. D + remaining equipment life valued at book</t>
        </is>
      </c>
      <c r="B66" s="67" t="n">
        <v>36.01053481960803</v>
      </c>
      <c r="C66" s="67" t="n">
        <v>6.476777490438207</v>
      </c>
      <c r="D66" s="67" t="n">
        <v>36.96085240343595</v>
      </c>
      <c r="E66" s="67" t="n">
        <v>67.48368978517901</v>
      </c>
      <c r="F66" s="58" t="n">
        <v>0.9938</v>
      </c>
    </row>
    <row r="67">
      <c r="A67" s="66" t="inlineStr">
        <is>
          <t>F. D but savings ramp one year slower (stress test)</t>
        </is>
      </c>
      <c r="B67" s="67" t="n">
        <v>-7.534233621168762</v>
      </c>
      <c r="C67" s="67" t="n">
        <v>-31.89940806088983</v>
      </c>
      <c r="D67" s="67" t="n">
        <v>-5.542507323532465</v>
      </c>
      <c r="E67" s="67" t="n">
        <v>12.32550108470081</v>
      </c>
      <c r="F67" s="58" t="n">
        <v>0.3242</v>
      </c>
    </row>
    <row r="68">
      <c r="A68" s="66" t="inlineStr">
        <is>
          <t>G. F + remaining equipment life valued at book</t>
        </is>
      </c>
      <c r="B68" s="67" t="n">
        <v>13.42540089822414</v>
      </c>
      <c r="C68" s="67" t="n">
        <v>-3.778779125254701</v>
      </c>
      <c r="D68" s="67" t="n">
        <v>11.92716410770895</v>
      </c>
      <c r="E68" s="67" t="n">
        <v>35.1241416528562</v>
      </c>
      <c r="F68" s="58" t="n">
        <v>0.879</v>
      </c>
    </row>
    <row r="69" ht="30" customHeight="1">
      <c r="A69" s="62" t="inlineStr">
        <is>
          <t>Pilot-light phasing: 10% / 15% / 40% / 25% / 10% of capex in 2026-2030. Ramp-up kept the same to isolate the effect of phasing; if scaling later also delays savings, the gain is smaller.</t>
        </is>
      </c>
    </row>
    <row r="70" ht="58" customHeight="1">
      <c r="A70" s="9" t="inlineStr">
        <is>
          <t>Reading: a gate only protects value if little money is spent before it. Gate after heavy spending (B) destroys value; pilot-light + gate (D) is the design to defend in SQ3. Valuing equipment life beyond 2030 (E) is legitimate but state it openly. Stress test (F): if savings arrive a year late, P(NPV&gt;0) falls to 32% (88% if remaining equipment life is valued, G). Speed of the pilot is the make-or-break factor: quick wins in 2026-27 belong in the roadmap.</t>
        </is>
      </c>
    </row>
    <row r="71" ht="45" customHeight="1">
      <c r="A71" s="62" t="inlineStr">
        <is>
          <t>Ranges used (triangular low / mode / high): scrap 20/35/50%, maintenance 5/10/15%, NVA 15/30/45%, energy 2/5/8%, variant cost 20/35/50%, investment 60/80/110, running 8/9/12%, training 2/2.5/3, variant projects 2/3/5, cost per project 5/10/15, cash realization 30/50/70%, adoption 60/100/100%, labor share 35/40/45%.</t>
        </is>
      </c>
    </row>
    <row r="73">
      <c r="A73" s="3" t="inlineStr">
        <is>
          <t>NPV distribution (histogram)</t>
        </is>
      </c>
    </row>
    <row r="74">
      <c r="A74" s="55" t="inlineStr">
        <is>
          <t>NPV bin from (Rp B)</t>
        </is>
      </c>
      <c r="B74" s="55" t="inlineStr">
        <is>
          <t>Runs</t>
        </is>
      </c>
    </row>
    <row r="75">
      <c r="A75" s="65" t="n">
        <v>-51.6</v>
      </c>
      <c r="B75" s="70" t="n">
        <v>11</v>
      </c>
    </row>
    <row r="76">
      <c r="A76" s="65" t="n">
        <v>-41.6</v>
      </c>
      <c r="B76" s="70" t="n">
        <v>73</v>
      </c>
    </row>
    <row r="77">
      <c r="A77" s="65" t="n">
        <v>-31.5</v>
      </c>
      <c r="B77" s="70" t="n">
        <v>294</v>
      </c>
    </row>
    <row r="78">
      <c r="A78" s="65" t="n">
        <v>-21.5</v>
      </c>
      <c r="B78" s="70" t="n">
        <v>700</v>
      </c>
    </row>
    <row r="79">
      <c r="A79" s="65" t="n">
        <v>-11.5</v>
      </c>
      <c r="B79" s="70" t="n">
        <v>1367</v>
      </c>
    </row>
    <row r="80">
      <c r="A80" s="65" t="n">
        <v>-1.4</v>
      </c>
      <c r="B80" s="70" t="n">
        <v>1920</v>
      </c>
    </row>
    <row r="81">
      <c r="A81" s="65" t="n">
        <v>8.6</v>
      </c>
      <c r="B81" s="70" t="n">
        <v>2028</v>
      </c>
    </row>
    <row r="82">
      <c r="A82" s="65" t="n">
        <v>18.6</v>
      </c>
      <c r="B82" s="70" t="n">
        <v>1753</v>
      </c>
    </row>
    <row r="83">
      <c r="A83" s="65" t="n">
        <v>28.6</v>
      </c>
      <c r="B83" s="70" t="n">
        <v>1056</v>
      </c>
    </row>
    <row r="84">
      <c r="A84" s="65" t="n">
        <v>38.7</v>
      </c>
      <c r="B84" s="70" t="n">
        <v>560</v>
      </c>
    </row>
    <row r="85">
      <c r="A85" s="65" t="n">
        <v>48.7</v>
      </c>
      <c r="B85" s="70" t="n">
        <v>182</v>
      </c>
    </row>
    <row r="86">
      <c r="A86" s="65" t="n">
        <v>58.7</v>
      </c>
      <c r="B86" s="70" t="n">
        <v>43</v>
      </c>
    </row>
    <row r="87">
      <c r="A87" s="65" t="n">
        <v>68.8</v>
      </c>
      <c r="B87" s="70" t="n">
        <v>10</v>
      </c>
    </row>
    <row r="88">
      <c r="A88" s="65" t="n">
        <v>78.8</v>
      </c>
      <c r="B88" s="70" t="n">
        <v>2</v>
      </c>
    </row>
    <row r="89">
      <c r="A89" s="65" t="n">
        <v>88.8</v>
      </c>
      <c r="B89" s="70" t="n">
        <v>0</v>
      </c>
    </row>
    <row r="90">
      <c r="A90" s="65" t="n">
        <v>98.90000000000001</v>
      </c>
      <c r="B90" s="70" t="n">
        <v>1</v>
      </c>
    </row>
    <row r="92">
      <c r="A92" s="3" t="inlineStr">
        <is>
          <t>TEST 3. Which assumption matters most? Tornado (base case, one at a time)</t>
        </is>
      </c>
    </row>
    <row r="93">
      <c r="A93" s="55" t="inlineStr">
        <is>
          <t>Driver</t>
        </is>
      </c>
      <c r="B93" s="55" t="inlineStr">
        <is>
          <t>Low input</t>
        </is>
      </c>
      <c r="C93" s="55" t="inlineStr">
        <is>
          <t>High input</t>
        </is>
      </c>
      <c r="D93" s="55" t="inlineStr">
        <is>
          <t>NPV at low</t>
        </is>
      </c>
      <c r="E93" s="55" t="inlineStr">
        <is>
          <t>NPV at high</t>
        </is>
      </c>
      <c r="F93" s="55" t="inlineStr">
        <is>
          <t>Swing</t>
        </is>
      </c>
    </row>
    <row r="94">
      <c r="A94" s="71" t="inlineStr">
        <is>
          <t>Investment (Rp B)</t>
        </is>
      </c>
      <c r="B94" s="72" t="n">
        <v>110</v>
      </c>
      <c r="C94" s="72" t="n">
        <v>60</v>
      </c>
      <c r="D94" s="67" t="n">
        <v>-1.497910926203485</v>
      </c>
      <c r="E94" s="67" t="n">
        <v>46.02200512523363</v>
      </c>
      <c r="F94" s="67" t="n">
        <v>47.51991605143711</v>
      </c>
    </row>
    <row r="95">
      <c r="A95" s="71" t="inlineStr">
        <is>
          <t>Adoption achieved</t>
        </is>
      </c>
      <c r="B95" s="58" t="n">
        <v>0.6</v>
      </c>
      <c r="C95" s="72" t="n">
        <v>1</v>
      </c>
      <c r="D95" s="67" t="n">
        <v>-17.99510981953292</v>
      </c>
      <c r="E95" s="67" t="n">
        <v>27.01403870465879</v>
      </c>
      <c r="F95" s="67" t="n">
        <v>45.00914852419172</v>
      </c>
    </row>
    <row r="96">
      <c r="A96" s="71" t="inlineStr">
        <is>
          <t>Scrap reduction</t>
        </is>
      </c>
      <c r="B96" s="58" t="n">
        <v>0.2</v>
      </c>
      <c r="C96" s="58" t="n">
        <v>0.5</v>
      </c>
      <c r="D96" s="67" t="n">
        <v>7.376539348554191</v>
      </c>
      <c r="E96" s="67" t="n">
        <v>46.65153806076337</v>
      </c>
      <c r="F96" s="67" t="n">
        <v>39.27499871220918</v>
      </c>
    </row>
    <row r="97">
      <c r="A97" s="71" t="inlineStr">
        <is>
          <t>Variant projects / yr</t>
        </is>
      </c>
      <c r="B97" s="72" t="n">
        <v>2</v>
      </c>
      <c r="C97" s="72" t="n">
        <v>5</v>
      </c>
      <c r="D97" s="67" t="n">
        <v>18.83174730628188</v>
      </c>
      <c r="E97" s="67" t="n">
        <v>43.37862150141261</v>
      </c>
      <c r="F97" s="67" t="n">
        <v>24.54687419513073</v>
      </c>
    </row>
    <row r="98">
      <c r="A98" s="71" t="inlineStr">
        <is>
          <t>Cost per variant project</t>
        </is>
      </c>
      <c r="B98" s="72" t="n">
        <v>5</v>
      </c>
      <c r="C98" s="72" t="n">
        <v>15</v>
      </c>
      <c r="D98" s="67" t="n">
        <v>14.74060160709343</v>
      </c>
      <c r="E98" s="67" t="n">
        <v>39.28747580222415</v>
      </c>
      <c r="F98" s="67" t="n">
        <v>24.54687419513073</v>
      </c>
    </row>
    <row r="99">
      <c r="A99" s="71" t="inlineStr">
        <is>
          <t>Variant cost reduction</t>
        </is>
      </c>
      <c r="B99" s="58" t="n">
        <v>0.2</v>
      </c>
      <c r="C99" s="58" t="n">
        <v>0.5</v>
      </c>
      <c r="D99" s="67" t="n">
        <v>16.49394976388848</v>
      </c>
      <c r="E99" s="67" t="n">
        <v>37.5341276454291</v>
      </c>
      <c r="F99" s="67" t="n">
        <v>21.04017788154063</v>
      </c>
    </row>
    <row r="100">
      <c r="A100" s="71" t="inlineStr">
        <is>
          <t>Operator NVA eliminated</t>
        </is>
      </c>
      <c r="B100" s="58" t="n">
        <v>0.15</v>
      </c>
      <c r="C100" s="58" t="n">
        <v>0.45</v>
      </c>
      <c r="D100" s="67" t="n">
        <v>18.37353898797276</v>
      </c>
      <c r="E100" s="67" t="n">
        <v>35.6545384213448</v>
      </c>
      <c r="F100" s="67" t="n">
        <v>17.28099943337204</v>
      </c>
    </row>
    <row r="101">
      <c r="A101" s="71" t="inlineStr">
        <is>
          <t>Maintenance reduction</t>
        </is>
      </c>
      <c r="B101" s="58" t="n">
        <v>0.05</v>
      </c>
      <c r="C101" s="58" t="n">
        <v>0.15</v>
      </c>
      <c r="D101" s="67" t="n">
        <v>18.50445565034678</v>
      </c>
      <c r="E101" s="67" t="n">
        <v>35.52362175897076</v>
      </c>
      <c r="F101" s="67" t="n">
        <v>17.01916610862397</v>
      </c>
    </row>
    <row r="102">
      <c r="A102" s="71" t="inlineStr">
        <is>
          <t>Energy reduction</t>
        </is>
      </c>
      <c r="B102" s="58" t="n">
        <v>0.02</v>
      </c>
      <c r="C102" s="58" t="n">
        <v>0.08</v>
      </c>
      <c r="D102" s="67" t="n">
        <v>22.30103885919367</v>
      </c>
      <c r="E102" s="67" t="n">
        <v>31.72703855012389</v>
      </c>
      <c r="F102" s="67" t="n">
        <v>9.425999690930212</v>
      </c>
    </row>
    <row r="103">
      <c r="A103" s="71" t="inlineStr">
        <is>
          <t>Running cost %</t>
        </is>
      </c>
      <c r="B103" s="58" t="n">
        <v>0.12</v>
      </c>
      <c r="C103" s="58" t="n">
        <v>0.08</v>
      </c>
      <c r="D103" s="67" t="n">
        <v>23.77962476124955</v>
      </c>
      <c r="E103" s="67" t="n">
        <v>30.24845264806801</v>
      </c>
      <c r="F103" s="67" t="n">
        <v>6.468827886818463</v>
      </c>
    </row>
    <row r="104">
      <c r="A104" s="3" t="inlineStr">
        <is>
          <t>Use the top 2-3 drivers as the assumptions you defend hardest in Q&amp;A, and as the KPIs you track first in the pilot.</t>
        </is>
      </c>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H104"/>
  <sheetViews>
    <sheetView workbookViewId="0">
      <selection activeCell="A1" sqref="A1"/>
    </sheetView>
  </sheetViews>
  <sheetFormatPr baseColWidth="8" defaultRowHeight="15"/>
  <cols>
    <col width="62" customWidth="1" min="1" max="1"/>
    <col width="18" customWidth="1" min="2" max="2"/>
    <col width="18" customWidth="1" min="3" max="3"/>
    <col width="18" customWidth="1" min="4" max="4"/>
    <col width="20" customWidth="1" min="5" max="5"/>
    <col width="14" customWidth="1" min="6" max="6"/>
    <col width="14" customWidth="1" min="7" max="7"/>
    <col width="16" customWidth="1" min="8" max="8"/>
  </cols>
  <sheetData>
    <row r="1">
      <c r="A1" s="1" t="inlineStr">
        <is>
          <t>Idea tests: simulation results (values produced by run_tests.py, not formulas)</t>
        </is>
      </c>
    </row>
    <row r="2">
      <c r="A2" s="54" t="inlineStr">
        <is>
          <t>Re-run run_tests.py after changing assumptions. Process parameters below are illustrative assumptions, not TMMIN data: present them as a mechanism test, and show the sensitivity.</t>
        </is>
      </c>
    </row>
    <row r="4">
      <c r="A4" s="3" t="inlineStr">
        <is>
          <t>TEST 1. Does closing the quality loop beat adding technology alone? (sealer drift -&gt; inspection -&gt; feedback, 1 year, 175,000 units, 300 runs)</t>
        </is>
      </c>
    </row>
    <row r="5">
      <c r="A5" s="55" t="inlineStr">
        <is>
          <t>Scenario</t>
        </is>
      </c>
      <c r="B5" s="55" t="inlineStr">
        <is>
          <t>Defective units / yr</t>
        </is>
      </c>
      <c r="C5" s="55" t="inlineStr">
        <is>
          <t>Scrapped units / yr</t>
        </is>
      </c>
      <c r="D5" s="55" t="inlineStr">
        <is>
          <t>Escaped defects / yr</t>
        </is>
      </c>
      <c r="E5" s="55" t="inlineStr">
        <is>
          <t>Units built while drifting</t>
        </is>
      </c>
      <c r="F5" s="55" t="inlineStr">
        <is>
          <t>Scrap vs today</t>
        </is>
      </c>
      <c r="G5" s="55" t="inlineStr">
        <is>
          <t>Escapes vs today</t>
        </is>
      </c>
      <c r="H5" s="55" t="inlineStr">
        <is>
          <t>Scrap P5-P95</t>
        </is>
      </c>
    </row>
    <row r="6">
      <c r="A6" s="56" t="inlineStr">
        <is>
          <t>1. Today: visual at final inspection, manual feedback</t>
        </is>
      </c>
      <c r="B6" s="57" t="n">
        <v>4266.68</v>
      </c>
      <c r="C6" s="57" t="n">
        <v>1088.524</v>
      </c>
      <c r="D6" s="57" t="n">
        <v>638.2666666666667</v>
      </c>
      <c r="E6" s="57" t="n">
        <v>15796.09333333333</v>
      </c>
      <c r="F6" s="58" t="n">
        <v>0</v>
      </c>
      <c r="G6" s="58" t="n">
        <v>0</v>
      </c>
      <c r="H6" s="57" t="inlineStr">
        <is>
          <t>835 - 1,365</t>
        </is>
      </c>
    </row>
    <row r="7">
      <c r="A7" s="56" t="inlineStr">
        <is>
          <t>2. Better camera at end-of-line only (tech, no loop)</t>
        </is>
      </c>
      <c r="B7" s="57" t="n">
        <v>4265.323333333334</v>
      </c>
      <c r="C7" s="57" t="n">
        <v>1215.776</v>
      </c>
      <c r="D7" s="57" t="n">
        <v>212.7366666666667</v>
      </c>
      <c r="E7" s="57" t="n">
        <v>15793.25666666667</v>
      </c>
      <c r="F7" s="58" t="n">
        <v>0.1169032561523677</v>
      </c>
      <c r="G7" s="58" t="n">
        <v>-0.6666962607060789</v>
      </c>
      <c r="H7" s="57" t="inlineStr">
        <is>
          <t>910 - 1,492</t>
        </is>
      </c>
    </row>
    <row r="8">
      <c r="A8" s="56" t="inlineStr">
        <is>
          <t>3. Closed loop at sealer, 31% of alerts dismissed (as today)</t>
        </is>
      </c>
      <c r="B8" s="57" t="n">
        <v>1652.95</v>
      </c>
      <c r="C8" s="57" t="n">
        <v>362.1536666666667</v>
      </c>
      <c r="D8" s="57" t="n">
        <v>203.26</v>
      </c>
      <c r="E8" s="57" t="n">
        <v>5247.72</v>
      </c>
      <c r="F8" s="58" t="n">
        <v>-0.6672984089770491</v>
      </c>
      <c r="G8" s="58" t="n">
        <v>-0.6815437643618132</v>
      </c>
      <c r="H8" s="57" t="inlineStr">
        <is>
          <t>216 - 543</t>
        </is>
      </c>
    </row>
    <row r="9">
      <c r="A9" s="59" t="inlineStr">
        <is>
          <t>4. Closed loop with people-centred design (10% dismissed)</t>
        </is>
      </c>
      <c r="B9" s="60" t="n">
        <v>908.3233333333334</v>
      </c>
      <c r="C9" s="60" t="n">
        <v>166.8633333333333</v>
      </c>
      <c r="D9" s="60" t="n">
        <v>88.00666666666666</v>
      </c>
      <c r="E9" s="60" t="n">
        <v>2257.006666666667</v>
      </c>
      <c r="F9" s="61" t="n">
        <v>-0.8467067943992661</v>
      </c>
      <c r="G9" s="61" t="n">
        <v>-0.862116147900564</v>
      </c>
      <c r="H9" s="60" t="inlineStr">
        <is>
          <t>83 - 270</t>
        </is>
      </c>
    </row>
    <row r="11">
      <c r="A11" s="3" t="inlineStr">
        <is>
          <t>What this shows</t>
        </is>
      </c>
    </row>
    <row r="12" ht="28" customHeight="1">
      <c r="A12" s="62" t="inlineStr">
        <is>
          <t>- A better camera at end-of-line alone changes scrap by +12% while escapes fall 67%: it catches more bad units, but too late, so escapes turn into scrap. It does not prevent defects.</t>
        </is>
      </c>
    </row>
    <row r="13" ht="28" customHeight="1">
      <c r="A13" s="62" t="inlineStr">
        <is>
          <t>- Closing the loop right after the sealer cuts scrap 85% and escapes 86%, because a drift is stopped within a few units instead of hundreds.</t>
        </is>
      </c>
    </row>
    <row r="14" ht="28" customHeight="1">
      <c r="A14" s="62" t="inlineStr">
        <is>
          <t>- If operators dismiss alerts in 31% of drift episodes (today's override rate), scrap reduction falls to 67%. Trust, training and alert design are part of the value, not an add-on.</t>
        </is>
      </c>
    </row>
    <row r="15" ht="28" customHeight="1">
      <c r="A15" s="62" t="inlineStr">
        <is>
          <t>- Plant-wide: if the pilot scope causes 40% of plant scrap (team assumption), the plant-wide scrap cut is about 34%. Compare with the 20% / 35% / 50% lever in Assumptions.</t>
        </is>
      </c>
    </row>
    <row r="16" ht="28" customHeight="1">
      <c r="A16" s="62" t="inlineStr">
        <is>
          <t>- Deck message: value comes from redesigning the system (where the check sits, how fast the signal travels, who acts on it), not from buying the device. That is exactly the case ask.</t>
        </is>
      </c>
    </row>
    <row r="18">
      <c r="A18" s="3" t="inlineStr">
        <is>
          <t>Process assumptions used (illustrative, change and re-run)</t>
        </is>
      </c>
    </row>
    <row r="19">
      <c r="A19" s="54" t="inlineStr">
        <is>
          <t>Defect probability per unit, stable sealer</t>
        </is>
      </c>
      <c r="B19" s="20" t="n">
        <v>0.002</v>
      </c>
    </row>
    <row r="20">
      <c r="A20" s="54" t="inlineStr">
        <is>
          <t>Average units between drift events</t>
        </is>
      </c>
      <c r="B20" s="63" t="n">
        <v>5000</v>
      </c>
    </row>
    <row r="21">
      <c r="A21" s="54" t="inlineStr">
        <is>
          <t>Defect probability per unit while drifting</t>
        </is>
      </c>
      <c r="B21" s="20" t="n">
        <v>0.25</v>
      </c>
    </row>
    <row r="22">
      <c r="A22" s="54" t="inlineStr">
        <is>
          <t>Manual visual detection rate at final inspection</t>
        </is>
      </c>
      <c r="B22" s="20" t="n">
        <v>0.85</v>
      </c>
    </row>
    <row r="23">
      <c r="A23" s="54" t="inlineStr">
        <is>
          <t>Share of sealer defect modes the in-line AI camera can see</t>
        </is>
      </c>
      <c r="B23" s="20" t="n">
        <v>0.7</v>
      </c>
    </row>
    <row r="24">
      <c r="A24" s="54" t="inlineStr">
        <is>
          <t>Units between sealer and today's final inspection</t>
        </is>
      </c>
      <c r="B24" s="63" t="n">
        <v>300</v>
      </c>
    </row>
    <row r="25">
      <c r="A25" s="54" t="inlineStr">
        <is>
          <t>Units built before manual feedback reaches the sealer</t>
        </is>
      </c>
      <c r="B25" s="63" t="n">
        <v>150</v>
      </c>
    </row>
    <row r="26">
      <c r="A26" s="54" t="inlineStr">
        <is>
          <t>Share of late-found defects scrapped</t>
        </is>
      </c>
      <c r="B26" s="20" t="n">
        <v>0.3</v>
      </c>
    </row>
    <row r="27">
      <c r="A27" s="54" t="inlineStr">
        <is>
          <t>Share of early-found defects scrapped</t>
        </is>
      </c>
      <c r="B27" s="20" t="n">
        <v>0.05</v>
      </c>
    </row>
    <row r="28">
      <c r="A28" s="54" t="inlineStr">
        <is>
          <t>Share of plant scrap from the pilot scope (team assumption)</t>
        </is>
      </c>
      <c r="B28" s="20" t="n">
        <v>0.4</v>
      </c>
    </row>
    <row r="29" ht="28" customHeight="1">
      <c r="A29" s="62" t="inlineStr">
        <is>
          <t>In-line check: 5 units after sealer, automatic feedback within 10 units, 90% detection on visible defect modes (case: AI camera in validation to Oct 2026).</t>
        </is>
      </c>
    </row>
    <row r="31">
      <c r="A31" s="3" t="inlineStr">
        <is>
          <t>Robustness: closed-loop (scenario 4) scrap reduction vs today when each assumption changes</t>
        </is>
      </c>
    </row>
    <row r="32">
      <c r="A32" s="55" t="inlineStr">
        <is>
          <t>Assumption</t>
        </is>
      </c>
      <c r="B32" s="55" t="inlineStr">
        <is>
          <t>Low</t>
        </is>
      </c>
      <c r="C32" s="55" t="inlineStr">
        <is>
          <t>Reduction</t>
        </is>
      </c>
      <c r="D32" s="55" t="inlineStr">
        <is>
          <t>Base</t>
        </is>
      </c>
      <c r="E32" s="55" t="inlineStr">
        <is>
          <t>Reduction</t>
        </is>
      </c>
      <c r="F32" s="55" t="inlineStr">
        <is>
          <t>High</t>
        </is>
      </c>
      <c r="G32" s="55" t="inlineStr">
        <is>
          <t>Reduction</t>
        </is>
      </c>
    </row>
    <row r="33">
      <c r="A33" s="3" t="inlineStr">
        <is>
          <t>AI camera coverage of defect modes</t>
        </is>
      </c>
      <c r="B33" s="20" t="n">
        <v>0.5</v>
      </c>
      <c r="C33" s="64" t="n">
        <v>0.8247043005741556</v>
      </c>
      <c r="D33" s="20" t="n">
        <v>0.7</v>
      </c>
      <c r="E33" s="64" t="n">
        <v>0.8468422609923756</v>
      </c>
      <c r="F33" s="20" t="n">
        <v>0.9</v>
      </c>
      <c r="G33" s="64" t="n">
        <v>0.8667088181512177</v>
      </c>
    </row>
    <row r="34">
      <c r="A34" s="3" t="inlineStr">
        <is>
          <t>Drift defect rate</t>
        </is>
      </c>
      <c r="B34" s="20" t="n">
        <v>0.1</v>
      </c>
      <c r="C34" s="64" t="n">
        <v>0.8026017993273447</v>
      </c>
      <c r="D34" s="20" t="n">
        <v>0.25</v>
      </c>
      <c r="E34" s="64" t="n">
        <v>0.8479906256107048</v>
      </c>
      <c r="F34" s="20" t="n">
        <v>0.4</v>
      </c>
      <c r="G34" s="64" t="n">
        <v>0.8649243431242232</v>
      </c>
    </row>
    <row r="35">
      <c r="A35" s="3" t="inlineStr">
        <is>
          <t>Units between drift events</t>
        </is>
      </c>
      <c r="B35" s="63" t="n">
        <v>2500</v>
      </c>
      <c r="C35" s="64" t="n">
        <v>0.8634074536698797</v>
      </c>
      <c r="D35" s="63" t="n">
        <v>5000</v>
      </c>
      <c r="E35" s="64" t="n">
        <v>0.8582510378017658</v>
      </c>
      <c r="F35" s="63" t="n">
        <v>10000</v>
      </c>
      <c r="G35" s="64" t="n">
        <v>0.8336816505910225</v>
      </c>
    </row>
    <row r="36">
      <c r="A36" s="3" t="inlineStr">
        <is>
          <t>Late-found scrap share</t>
        </is>
      </c>
      <c r="B36" s="20" t="n">
        <v>0.15</v>
      </c>
      <c r="C36" s="64" t="n">
        <v>0.8314626883200975</v>
      </c>
      <c r="D36" s="20" t="n">
        <v>0.3</v>
      </c>
      <c r="E36" s="64" t="n">
        <v>0.8538779573335564</v>
      </c>
      <c r="F36" s="20" t="n">
        <v>0.5</v>
      </c>
      <c r="G36" s="64" t="n">
        <v>0.8501771115300518</v>
      </c>
    </row>
    <row r="37">
      <c r="A37" s="3" t="inlineStr">
        <is>
          <t>Units from sealer to today's inspection</t>
        </is>
      </c>
      <c r="B37" s="63" t="n">
        <v>100</v>
      </c>
      <c r="C37" s="64" t="n">
        <v>0.8111230466252334</v>
      </c>
      <c r="D37" s="63" t="n">
        <v>300</v>
      </c>
      <c r="E37" s="64" t="n">
        <v>0.8492533988756621</v>
      </c>
      <c r="F37" s="63" t="n">
        <v>600</v>
      </c>
      <c r="G37" s="64" t="n">
        <v>0.8737976071910339</v>
      </c>
    </row>
    <row r="38">
      <c r="A38" s="3" t="inlineStr">
        <is>
          <t>Lowest scrap reduction across all tested cases: 80%. The mechanism holds even with pessimistic process assumptions.</t>
        </is>
      </c>
    </row>
    <row r="40">
      <c r="A40" s="3" t="inlineStr">
        <is>
          <t>People test: how much value is lost when operators dismiss alerts?</t>
        </is>
      </c>
    </row>
    <row r="41">
      <c r="A41" s="55" t="inlineStr">
        <is>
          <t>Share of drift episodes where alerts are dismissed</t>
        </is>
      </c>
      <c r="B41" s="55" t="inlineStr">
        <is>
          <t>Scrap reduction vs today</t>
        </is>
      </c>
    </row>
    <row r="42">
      <c r="A42" s="20" t="n">
        <v>0</v>
      </c>
      <c r="B42" s="64" t="n">
        <v>0.9392930243154951</v>
      </c>
    </row>
    <row r="43">
      <c r="A43" s="20" t="n">
        <v>0.1</v>
      </c>
      <c r="B43" s="64" t="n">
        <v>0.8445760803926541</v>
      </c>
    </row>
    <row r="44">
      <c r="A44" s="20" t="n">
        <v>0.2</v>
      </c>
      <c r="B44" s="64" t="n">
        <v>0.7497194978398884</v>
      </c>
    </row>
    <row r="45">
      <c r="A45" s="20" t="n">
        <v>0.31</v>
      </c>
      <c r="B45" s="64" t="n">
        <v>0.6431060163426193</v>
      </c>
    </row>
    <row r="46">
      <c r="A46" s="20" t="n">
        <v>0.5</v>
      </c>
      <c r="B46" s="64" t="n">
        <v>0.4964125733562145</v>
      </c>
    </row>
    <row r="47" ht="28" customHeight="1">
      <c r="A47" s="62" t="inlineStr">
        <is>
          <t>Exhibit 6B says 31% of operators frequently override alerts today. This chart is the quantified case for the people part of the idea.</t>
        </is>
      </c>
    </row>
    <row r="49">
      <c r="A49" s="3" t="inlineStr">
        <is>
          <t>TEST 2. Is the business case robust? Financial Monte Carlo (10,000 runs, mirrors the Model tab incl. pilot-light phasing)</t>
        </is>
      </c>
    </row>
    <row r="50">
      <c r="A50" s="55" t="inlineStr">
        <is>
          <t>Metric</t>
        </is>
      </c>
      <c r="B50" s="55" t="inlineStr">
        <is>
          <t>Value</t>
        </is>
      </c>
      <c r="C50" s="55" t="inlineStr">
        <is>
          <t>Note</t>
        </is>
      </c>
    </row>
    <row r="51">
      <c r="A51" s="3" t="inlineStr">
        <is>
          <t>Deterministic base NPV (check vs Model tab)</t>
        </is>
      </c>
      <c r="B51" s="65" t="n">
        <v>27.01403870465879</v>
      </c>
      <c r="C51" s="54" t="inlineStr">
        <is>
          <t>Should match Dashboard base NPV</t>
        </is>
      </c>
    </row>
    <row r="52">
      <c r="A52" s="3" t="inlineStr">
        <is>
          <t>Mean NPV</t>
        </is>
      </c>
      <c r="B52" s="65" t="n">
        <v>11.82360761131173</v>
      </c>
      <c r="C52" s="54" t="inlineStr">
        <is>
          <t>Rp billion</t>
        </is>
      </c>
    </row>
    <row r="53">
      <c r="A53" s="3" t="inlineStr">
        <is>
          <t>P5 NPV (bad case)</t>
        </is>
      </c>
      <c r="B53" s="65" t="n">
        <v>-19.41291040060244</v>
      </c>
      <c r="C53" s="54" t="inlineStr">
        <is>
          <t>1-in-20 downside</t>
        </is>
      </c>
    </row>
    <row r="54">
      <c r="A54" s="3" t="inlineStr">
        <is>
          <t>Median NPV</t>
        </is>
      </c>
      <c r="B54" s="65" t="n">
        <v>11.7084469092985</v>
      </c>
      <c r="C54" s="54" t="inlineStr"/>
    </row>
    <row r="55">
      <c r="A55" s="3" t="inlineStr">
        <is>
          <t>P95 NPV (good case)</t>
        </is>
      </c>
      <c r="B55" s="65" t="n">
        <v>43.10332192077205</v>
      </c>
      <c r="C55" s="54" t="inlineStr"/>
    </row>
    <row r="56">
      <c r="A56" s="3" t="inlineStr">
        <is>
          <t>Probability NPV &gt; 0</t>
        </is>
      </c>
      <c r="B56" s="64" t="n">
        <v>0.7311</v>
      </c>
      <c r="C56" s="54" t="inlineStr">
        <is>
          <t>Headline for the financial slide</t>
        </is>
      </c>
    </row>
    <row r="57">
      <c r="A57" s="3" t="inlineStr">
        <is>
          <t>Median full run-rate savings (Rp B/yr)</t>
        </is>
      </c>
      <c r="B57" s="65" t="n">
        <v>49.0844126012166</v>
      </c>
      <c r="C57" s="54" t="inlineStr"/>
    </row>
    <row r="58">
      <c r="A58" s="3" t="inlineStr">
        <is>
          <t>Median run-rate as % of conversion cost</t>
        </is>
      </c>
      <c r="B58" s="64" t="n">
        <v>0.08765073678788678</v>
      </c>
      <c r="C58" s="54" t="inlineStr">
        <is>
          <t>vs 16% gap to benchmark</t>
        </is>
      </c>
    </row>
    <row r="60">
      <c r="A60" s="3" t="inlineStr">
        <is>
          <t>TEST 2b. How should the roadmap spend the money? Same 10,000 runs, five strategies (gate = stop scaling if 2027 pilot adoption &lt; 80%; happens in 25% of runs)</t>
        </is>
      </c>
    </row>
    <row r="61">
      <c r="A61" s="55" t="inlineStr">
        <is>
          <t>Strategy</t>
        </is>
      </c>
      <c r="B61" s="55" t="inlineStr">
        <is>
          <t>Mean NPV</t>
        </is>
      </c>
      <c r="C61" s="55" t="inlineStr">
        <is>
          <t>P5 NPV</t>
        </is>
      </c>
      <c r="D61" s="55" t="inlineStr">
        <is>
          <t>Median NPV</t>
        </is>
      </c>
      <c r="E61" s="55" t="inlineStr">
        <is>
          <t>P95 NPV</t>
        </is>
      </c>
      <c r="F61" s="55" t="inlineStr">
        <is>
          <t>P(NPV &gt; 0)</t>
        </is>
      </c>
    </row>
    <row r="62">
      <c r="A62" s="66" t="inlineStr">
        <is>
          <t>A. Front-loaded phasing, no gate</t>
        </is>
      </c>
      <c r="B62" s="67" t="n">
        <v>-0.191332294676973</v>
      </c>
      <c r="C62" s="67" t="n">
        <v>-32.83255089311962</v>
      </c>
      <c r="D62" s="67" t="n">
        <v>-0.3737217276611755</v>
      </c>
      <c r="E62" s="67" t="n">
        <v>32.5044161216826</v>
      </c>
      <c r="F62" s="58" t="n">
        <v>0.4925</v>
      </c>
    </row>
    <row r="63">
      <c r="A63" s="66" t="inlineStr">
        <is>
          <t>B. Front-loaded phasing + gate (65% already spent)</t>
        </is>
      </c>
      <c r="B63" s="67" t="n">
        <v>-3.79967892697686</v>
      </c>
      <c r="C63" s="67" t="n">
        <v>-39.74590657971964</v>
      </c>
      <c r="D63" s="67" t="n">
        <v>-2.962350007986172</v>
      </c>
      <c r="E63" s="67" t="n">
        <v>32.40194504032392</v>
      </c>
      <c r="F63" s="58" t="n">
        <v>0.4518</v>
      </c>
    </row>
    <row r="64">
      <c r="A64" s="66" t="inlineStr">
        <is>
          <t>C. Pilot-light phasing, no gate (as in Model tab)</t>
        </is>
      </c>
      <c r="B64" s="67" t="n">
        <v>11.82360761131173</v>
      </c>
      <c r="C64" s="67" t="n">
        <v>-19.41291040060244</v>
      </c>
      <c r="D64" s="67" t="n">
        <v>11.7084469092985</v>
      </c>
      <c r="E64" s="67" t="n">
        <v>43.10332192077205</v>
      </c>
      <c r="F64" s="58" t="n">
        <v>0.7311</v>
      </c>
    </row>
    <row r="65">
      <c r="A65" s="68" t="inlineStr">
        <is>
          <t>D. Pilot-light phasing + gate</t>
        </is>
      </c>
      <c r="B65" s="69" t="n">
        <v>15.05090030021514</v>
      </c>
      <c r="C65" s="69" t="n">
        <v>-8.411626796801812</v>
      </c>
      <c r="D65" s="69" t="n">
        <v>13.32040175184729</v>
      </c>
      <c r="E65" s="69" t="n">
        <v>43.06772269056702</v>
      </c>
      <c r="F65" s="61" t="n">
        <v>0.8595</v>
      </c>
    </row>
    <row r="66">
      <c r="A66" s="66" t="inlineStr">
        <is>
          <t>E. D + remaining equipment life valued at book</t>
        </is>
      </c>
      <c r="B66" s="67" t="n">
        <v>36.01053481960803</v>
      </c>
      <c r="C66" s="67" t="n">
        <v>6.476777490438207</v>
      </c>
      <c r="D66" s="67" t="n">
        <v>36.96085240343595</v>
      </c>
      <c r="E66" s="67" t="n">
        <v>67.48368978517901</v>
      </c>
      <c r="F66" s="58" t="n">
        <v>0.9938</v>
      </c>
    </row>
    <row r="67">
      <c r="A67" s="66" t="inlineStr">
        <is>
          <t>F. D but savings ramp one year slower (stress test)</t>
        </is>
      </c>
      <c r="B67" s="67" t="n">
        <v>-7.534233621168762</v>
      </c>
      <c r="C67" s="67" t="n">
        <v>-31.89940806088983</v>
      </c>
      <c r="D67" s="67" t="n">
        <v>-5.542507323532465</v>
      </c>
      <c r="E67" s="67" t="n">
        <v>12.32550108470081</v>
      </c>
      <c r="F67" s="58" t="n">
        <v>0.3242</v>
      </c>
    </row>
    <row r="68">
      <c r="A68" s="66" t="inlineStr">
        <is>
          <t>G. F + remaining equipment life valued at book</t>
        </is>
      </c>
      <c r="B68" s="67" t="n">
        <v>13.42540089822414</v>
      </c>
      <c r="C68" s="67" t="n">
        <v>-3.778779125254701</v>
      </c>
      <c r="D68" s="67" t="n">
        <v>11.92716410770895</v>
      </c>
      <c r="E68" s="67" t="n">
        <v>35.1241416528562</v>
      </c>
      <c r="F68" s="58" t="n">
        <v>0.879</v>
      </c>
    </row>
    <row r="69" ht="30" customHeight="1">
      <c r="A69" s="62" t="inlineStr">
        <is>
          <t>Pilot-light phasing: 10% / 15% / 40% / 25% / 10% of capex in 2026-2030. Ramp-up kept the same to isolate the effect of phasing; if scaling later also delays savings, the gain is smaller.</t>
        </is>
      </c>
    </row>
    <row r="70" ht="58" customHeight="1">
      <c r="A70" s="9" t="inlineStr">
        <is>
          <t>Reading: a gate only protects value if little money is spent before it. Gate after heavy spending (B) destroys value; pilot-light + gate (D) is the design to defend in SQ3. Valuing equipment life beyond 2030 (E) is legitimate but state it openly. Stress test (F): if savings arrive a year late, P(NPV&gt;0) falls to 32% (88% if remaining equipment life is valued, G). Speed of the pilot is the make-or-break factor: quick wins in 2026-27 belong in the roadmap.</t>
        </is>
      </c>
    </row>
    <row r="71" ht="45" customHeight="1">
      <c r="A71" s="62" t="inlineStr">
        <is>
          <t>Ranges used (triangular low / mode / high): scrap 20/35/50%, maintenance 5/10/15%, NVA 15/30/45%, energy 2/5/8%, variant cost 20/35/50%, investment 60/80/110, running 8/9/12%, training 2/2.5/3, variant projects 2/3/5, cost per project 5/10/15, cash realization 30/50/70%, adoption 60/100/100%, labor share 35/40/45%.</t>
        </is>
      </c>
    </row>
    <row r="73">
      <c r="A73" s="3" t="inlineStr">
        <is>
          <t>NPV distribution (histogram)</t>
        </is>
      </c>
    </row>
    <row r="74">
      <c r="A74" s="55" t="inlineStr">
        <is>
          <t>NPV bin from (Rp B)</t>
        </is>
      </c>
      <c r="B74" s="55" t="inlineStr">
        <is>
          <t>Runs</t>
        </is>
      </c>
    </row>
    <row r="75">
      <c r="A75" s="65" t="n">
        <v>-51.6</v>
      </c>
      <c r="B75" s="70" t="n">
        <v>11</v>
      </c>
    </row>
    <row r="76">
      <c r="A76" s="65" t="n">
        <v>-41.6</v>
      </c>
      <c r="B76" s="70" t="n">
        <v>73</v>
      </c>
    </row>
    <row r="77">
      <c r="A77" s="65" t="n">
        <v>-31.5</v>
      </c>
      <c r="B77" s="70" t="n">
        <v>294</v>
      </c>
    </row>
    <row r="78">
      <c r="A78" s="65" t="n">
        <v>-21.5</v>
      </c>
      <c r="B78" s="70" t="n">
        <v>700</v>
      </c>
    </row>
    <row r="79">
      <c r="A79" s="65" t="n">
        <v>-11.5</v>
      </c>
      <c r="B79" s="70" t="n">
        <v>1367</v>
      </c>
    </row>
    <row r="80">
      <c r="A80" s="65" t="n">
        <v>-1.4</v>
      </c>
      <c r="B80" s="70" t="n">
        <v>1920</v>
      </c>
    </row>
    <row r="81">
      <c r="A81" s="65" t="n">
        <v>8.6</v>
      </c>
      <c r="B81" s="70" t="n">
        <v>2028</v>
      </c>
    </row>
    <row r="82">
      <c r="A82" s="65" t="n">
        <v>18.6</v>
      </c>
      <c r="B82" s="70" t="n">
        <v>1753</v>
      </c>
    </row>
    <row r="83">
      <c r="A83" s="65" t="n">
        <v>28.6</v>
      </c>
      <c r="B83" s="70" t="n">
        <v>1056</v>
      </c>
    </row>
    <row r="84">
      <c r="A84" s="65" t="n">
        <v>38.7</v>
      </c>
      <c r="B84" s="70" t="n">
        <v>560</v>
      </c>
    </row>
    <row r="85">
      <c r="A85" s="65" t="n">
        <v>48.7</v>
      </c>
      <c r="B85" s="70" t="n">
        <v>182</v>
      </c>
    </row>
    <row r="86">
      <c r="A86" s="65" t="n">
        <v>58.7</v>
      </c>
      <c r="B86" s="70" t="n">
        <v>43</v>
      </c>
    </row>
    <row r="87">
      <c r="A87" s="65" t="n">
        <v>68.8</v>
      </c>
      <c r="B87" s="70" t="n">
        <v>10</v>
      </c>
    </row>
    <row r="88">
      <c r="A88" s="65" t="n">
        <v>78.8</v>
      </c>
      <c r="B88" s="70" t="n">
        <v>2</v>
      </c>
    </row>
    <row r="89">
      <c r="A89" s="65" t="n">
        <v>88.8</v>
      </c>
      <c r="B89" s="70" t="n">
        <v>0</v>
      </c>
    </row>
    <row r="90">
      <c r="A90" s="65" t="n">
        <v>98.90000000000001</v>
      </c>
      <c r="B90" s="70" t="n">
        <v>1</v>
      </c>
    </row>
    <row r="92">
      <c r="A92" s="3" t="inlineStr">
        <is>
          <t>TEST 3. Which assumption matters most? Tornado (base case, one at a time)</t>
        </is>
      </c>
    </row>
    <row r="93">
      <c r="A93" s="55" t="inlineStr">
        <is>
          <t>Driver</t>
        </is>
      </c>
      <c r="B93" s="55" t="inlineStr">
        <is>
          <t>Low input</t>
        </is>
      </c>
      <c r="C93" s="55" t="inlineStr">
        <is>
          <t>High input</t>
        </is>
      </c>
      <c r="D93" s="55" t="inlineStr">
        <is>
          <t>NPV at low</t>
        </is>
      </c>
      <c r="E93" s="55" t="inlineStr">
        <is>
          <t>NPV at high</t>
        </is>
      </c>
      <c r="F93" s="55" t="inlineStr">
        <is>
          <t>Swing</t>
        </is>
      </c>
    </row>
    <row r="94">
      <c r="A94" s="71" t="inlineStr">
        <is>
          <t>Investment (Rp B)</t>
        </is>
      </c>
      <c r="B94" s="72" t="n">
        <v>110</v>
      </c>
      <c r="C94" s="72" t="n">
        <v>60</v>
      </c>
      <c r="D94" s="67" t="n">
        <v>-1.497910926203485</v>
      </c>
      <c r="E94" s="67" t="n">
        <v>46.02200512523363</v>
      </c>
      <c r="F94" s="67" t="n">
        <v>47.51991605143711</v>
      </c>
    </row>
    <row r="95">
      <c r="A95" s="71" t="inlineStr">
        <is>
          <t>Adoption achieved</t>
        </is>
      </c>
      <c r="B95" s="58" t="n">
        <v>0.6</v>
      </c>
      <c r="C95" s="72" t="n">
        <v>1</v>
      </c>
      <c r="D95" s="67" t="n">
        <v>-17.99510981953292</v>
      </c>
      <c r="E95" s="67" t="n">
        <v>27.01403870465879</v>
      </c>
      <c r="F95" s="67" t="n">
        <v>45.00914852419172</v>
      </c>
    </row>
    <row r="96">
      <c r="A96" s="71" t="inlineStr">
        <is>
          <t>Scrap reduction</t>
        </is>
      </c>
      <c r="B96" s="58" t="n">
        <v>0.2</v>
      </c>
      <c r="C96" s="58" t="n">
        <v>0.5</v>
      </c>
      <c r="D96" s="67" t="n">
        <v>7.376539348554191</v>
      </c>
      <c r="E96" s="67" t="n">
        <v>46.65153806076337</v>
      </c>
      <c r="F96" s="67" t="n">
        <v>39.27499871220918</v>
      </c>
    </row>
    <row r="97">
      <c r="A97" s="71" t="inlineStr">
        <is>
          <t>Variant projects / yr</t>
        </is>
      </c>
      <c r="B97" s="72" t="n">
        <v>2</v>
      </c>
      <c r="C97" s="72" t="n">
        <v>5</v>
      </c>
      <c r="D97" s="67" t="n">
        <v>18.83174730628188</v>
      </c>
      <c r="E97" s="67" t="n">
        <v>43.37862150141261</v>
      </c>
      <c r="F97" s="67" t="n">
        <v>24.54687419513073</v>
      </c>
    </row>
    <row r="98">
      <c r="A98" s="71" t="inlineStr">
        <is>
          <t>Cost per variant project</t>
        </is>
      </c>
      <c r="B98" s="72" t="n">
        <v>5</v>
      </c>
      <c r="C98" s="72" t="n">
        <v>15</v>
      </c>
      <c r="D98" s="67" t="n">
        <v>14.74060160709343</v>
      </c>
      <c r="E98" s="67" t="n">
        <v>39.28747580222415</v>
      </c>
      <c r="F98" s="67" t="n">
        <v>24.54687419513073</v>
      </c>
    </row>
    <row r="99">
      <c r="A99" s="71" t="inlineStr">
        <is>
          <t>Variant cost reduction</t>
        </is>
      </c>
      <c r="B99" s="58" t="n">
        <v>0.2</v>
      </c>
      <c r="C99" s="58" t="n">
        <v>0.5</v>
      </c>
      <c r="D99" s="67" t="n">
        <v>16.49394976388848</v>
      </c>
      <c r="E99" s="67" t="n">
        <v>37.5341276454291</v>
      </c>
      <c r="F99" s="67" t="n">
        <v>21.04017788154063</v>
      </c>
    </row>
    <row r="100">
      <c r="A100" s="71" t="inlineStr">
        <is>
          <t>Operator NVA eliminated</t>
        </is>
      </c>
      <c r="B100" s="58" t="n">
        <v>0.15</v>
      </c>
      <c r="C100" s="58" t="n">
        <v>0.45</v>
      </c>
      <c r="D100" s="67" t="n">
        <v>18.37353898797276</v>
      </c>
      <c r="E100" s="67" t="n">
        <v>35.6545384213448</v>
      </c>
      <c r="F100" s="67" t="n">
        <v>17.28099943337204</v>
      </c>
    </row>
    <row r="101">
      <c r="A101" s="71" t="inlineStr">
        <is>
          <t>Maintenance reduction</t>
        </is>
      </c>
      <c r="B101" s="58" t="n">
        <v>0.05</v>
      </c>
      <c r="C101" s="58" t="n">
        <v>0.15</v>
      </c>
      <c r="D101" s="67" t="n">
        <v>18.50445565034678</v>
      </c>
      <c r="E101" s="67" t="n">
        <v>35.52362175897076</v>
      </c>
      <c r="F101" s="67" t="n">
        <v>17.01916610862397</v>
      </c>
    </row>
    <row r="102">
      <c r="A102" s="71" t="inlineStr">
        <is>
          <t>Energy reduction</t>
        </is>
      </c>
      <c r="B102" s="58" t="n">
        <v>0.02</v>
      </c>
      <c r="C102" s="58" t="n">
        <v>0.08</v>
      </c>
      <c r="D102" s="67" t="n">
        <v>22.30103885919367</v>
      </c>
      <c r="E102" s="67" t="n">
        <v>31.72703855012389</v>
      </c>
      <c r="F102" s="67" t="n">
        <v>9.425999690930212</v>
      </c>
    </row>
    <row r="103">
      <c r="A103" s="71" t="inlineStr">
        <is>
          <t>Running cost %</t>
        </is>
      </c>
      <c r="B103" s="58" t="n">
        <v>0.12</v>
      </c>
      <c r="C103" s="58" t="n">
        <v>0.08</v>
      </c>
      <c r="D103" s="67" t="n">
        <v>23.77962476124955</v>
      </c>
      <c r="E103" s="67" t="n">
        <v>30.24845264806801</v>
      </c>
      <c r="F103" s="67" t="n">
        <v>6.468827886818463</v>
      </c>
    </row>
    <row r="104">
      <c r="A104" s="3" t="inlineStr">
        <is>
          <t>Use the top 2-3 drivers as the assumptions you defend hardest in Q&amp;A, and as the KPIs you track first in the pilot.</t>
        </is>
      </c>
    </row>
  </sheetData>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H104"/>
  <sheetViews>
    <sheetView workbookViewId="0">
      <selection activeCell="A1" sqref="A1"/>
    </sheetView>
  </sheetViews>
  <sheetFormatPr baseColWidth="8" defaultRowHeight="15"/>
  <cols>
    <col width="62" customWidth="1" min="1" max="1"/>
    <col width="18" customWidth="1" min="2" max="2"/>
    <col width="18" customWidth="1" min="3" max="3"/>
    <col width="18" customWidth="1" min="4" max="4"/>
    <col width="20" customWidth="1" min="5" max="5"/>
    <col width="14" customWidth="1" min="6" max="6"/>
    <col width="14" customWidth="1" min="7" max="7"/>
    <col width="16" customWidth="1" min="8" max="8"/>
  </cols>
  <sheetData>
    <row r="1">
      <c r="A1" s="1" t="inlineStr">
        <is>
          <t>Idea tests: simulation results (values produced by run_tests.py, not formulas)</t>
        </is>
      </c>
    </row>
    <row r="2">
      <c r="A2" s="54" t="inlineStr">
        <is>
          <t>Re-run run_tests.py after changing assumptions. Process parameters below are illustrative assumptions, not TMMIN data: present them as a mechanism test, and show the sensitivity.</t>
        </is>
      </c>
    </row>
    <row r="4">
      <c r="A4" s="3" t="inlineStr">
        <is>
          <t>TEST 1. Does closing the quality loop beat adding technology alone? (sealer drift -&gt; inspection -&gt; feedback, 1 year, 175,000 units, 300 runs)</t>
        </is>
      </c>
    </row>
    <row r="5">
      <c r="A5" s="55" t="inlineStr">
        <is>
          <t>Scenario</t>
        </is>
      </c>
      <c r="B5" s="55" t="inlineStr">
        <is>
          <t>Defective units / yr</t>
        </is>
      </c>
      <c r="C5" s="55" t="inlineStr">
        <is>
          <t>Scrapped units / yr</t>
        </is>
      </c>
      <c r="D5" s="55" t="inlineStr">
        <is>
          <t>Escaped defects / yr</t>
        </is>
      </c>
      <c r="E5" s="55" t="inlineStr">
        <is>
          <t>Units built while drifting</t>
        </is>
      </c>
      <c r="F5" s="55" t="inlineStr">
        <is>
          <t>Scrap vs today</t>
        </is>
      </c>
      <c r="G5" s="55" t="inlineStr">
        <is>
          <t>Escapes vs today</t>
        </is>
      </c>
      <c r="H5" s="55" t="inlineStr">
        <is>
          <t>Scrap P5-P95</t>
        </is>
      </c>
    </row>
    <row r="6">
      <c r="A6" s="56" t="inlineStr">
        <is>
          <t>1. Today: visual at final inspection, manual feedback</t>
        </is>
      </c>
      <c r="B6" s="57" t="n">
        <v>4266.68</v>
      </c>
      <c r="C6" s="57" t="n">
        <v>1088.524</v>
      </c>
      <c r="D6" s="57" t="n">
        <v>638.2666666666667</v>
      </c>
      <c r="E6" s="57" t="n">
        <v>15796.09333333333</v>
      </c>
      <c r="F6" s="58" t="n">
        <v>0</v>
      </c>
      <c r="G6" s="58" t="n">
        <v>0</v>
      </c>
      <c r="H6" s="57" t="inlineStr">
        <is>
          <t>835 - 1,365</t>
        </is>
      </c>
    </row>
    <row r="7">
      <c r="A7" s="56" t="inlineStr">
        <is>
          <t>2. Better camera at end-of-line only (tech, no loop)</t>
        </is>
      </c>
      <c r="B7" s="57" t="n">
        <v>4265.323333333334</v>
      </c>
      <c r="C7" s="57" t="n">
        <v>1215.776</v>
      </c>
      <c r="D7" s="57" t="n">
        <v>212.7366666666667</v>
      </c>
      <c r="E7" s="57" t="n">
        <v>15793.25666666667</v>
      </c>
      <c r="F7" s="58" t="n">
        <v>0.1169032561523677</v>
      </c>
      <c r="G7" s="58" t="n">
        <v>-0.6666962607060789</v>
      </c>
      <c r="H7" s="57" t="inlineStr">
        <is>
          <t>910 - 1,492</t>
        </is>
      </c>
    </row>
    <row r="8">
      <c r="A8" s="56" t="inlineStr">
        <is>
          <t>3. Closed loop at sealer, 31% of alerts dismissed (as today)</t>
        </is>
      </c>
      <c r="B8" s="57" t="n">
        <v>1652.95</v>
      </c>
      <c r="C8" s="57" t="n">
        <v>362.1536666666667</v>
      </c>
      <c r="D8" s="57" t="n">
        <v>203.26</v>
      </c>
      <c r="E8" s="57" t="n">
        <v>5247.72</v>
      </c>
      <c r="F8" s="58" t="n">
        <v>-0.6672984089770491</v>
      </c>
      <c r="G8" s="58" t="n">
        <v>-0.6815437643618132</v>
      </c>
      <c r="H8" s="57" t="inlineStr">
        <is>
          <t>216 - 543</t>
        </is>
      </c>
    </row>
    <row r="9">
      <c r="A9" s="59" t="inlineStr">
        <is>
          <t>4. Closed loop with people-centred design (10% dismissed)</t>
        </is>
      </c>
      <c r="B9" s="60" t="n">
        <v>908.3233333333334</v>
      </c>
      <c r="C9" s="60" t="n">
        <v>166.8633333333333</v>
      </c>
      <c r="D9" s="60" t="n">
        <v>88.00666666666666</v>
      </c>
      <c r="E9" s="60" t="n">
        <v>2257.006666666667</v>
      </c>
      <c r="F9" s="61" t="n">
        <v>-0.8467067943992661</v>
      </c>
      <c r="G9" s="61" t="n">
        <v>-0.862116147900564</v>
      </c>
      <c r="H9" s="60" t="inlineStr">
        <is>
          <t>83 - 270</t>
        </is>
      </c>
    </row>
    <row r="11">
      <c r="A11" s="3" t="inlineStr">
        <is>
          <t>What this shows</t>
        </is>
      </c>
    </row>
    <row r="12" ht="28" customHeight="1">
      <c r="A12" s="62" t="inlineStr">
        <is>
          <t>- A better camera at end-of-line alone changes scrap by +12% while escapes fall 67%: it catches more bad units, but too late, so escapes turn into scrap. It does not prevent defects.</t>
        </is>
      </c>
    </row>
    <row r="13" ht="28" customHeight="1">
      <c r="A13" s="62" t="inlineStr">
        <is>
          <t>- Closing the loop right after the sealer cuts scrap 85% and escapes 86%, because a drift is stopped within a few units instead of hundreds.</t>
        </is>
      </c>
    </row>
    <row r="14" ht="28" customHeight="1">
      <c r="A14" s="62" t="inlineStr">
        <is>
          <t>- If operators dismiss alerts in 31% of drift episodes (today's override rate), scrap reduction falls to 67%. Trust, training and alert design are part of the value, not an add-on.</t>
        </is>
      </c>
    </row>
    <row r="15" ht="28" customHeight="1">
      <c r="A15" s="62" t="inlineStr">
        <is>
          <t>- Plant-wide: if the pilot scope causes 40% of plant scrap (team assumption), the plant-wide scrap cut is about 34%. Compare with the 20% / 35% / 50% lever in Assumptions.</t>
        </is>
      </c>
    </row>
    <row r="16" ht="28" customHeight="1">
      <c r="A16" s="62" t="inlineStr">
        <is>
          <t>- Deck message: value comes from redesigning the system (where the check sits, how fast the signal travels, who acts on it), not from buying the device. That is exactly the case ask.</t>
        </is>
      </c>
    </row>
    <row r="18">
      <c r="A18" s="3" t="inlineStr">
        <is>
          <t>Process assumptions used (illustrative, change and re-run)</t>
        </is>
      </c>
    </row>
    <row r="19">
      <c r="A19" s="54" t="inlineStr">
        <is>
          <t>Defect probability per unit, stable sealer</t>
        </is>
      </c>
      <c r="B19" s="20" t="n">
        <v>0.002</v>
      </c>
    </row>
    <row r="20">
      <c r="A20" s="54" t="inlineStr">
        <is>
          <t>Average units between drift events</t>
        </is>
      </c>
      <c r="B20" s="63" t="n">
        <v>5000</v>
      </c>
    </row>
    <row r="21">
      <c r="A21" s="54" t="inlineStr">
        <is>
          <t>Defect probability per unit while drifting</t>
        </is>
      </c>
      <c r="B21" s="20" t="n">
        <v>0.25</v>
      </c>
    </row>
    <row r="22">
      <c r="A22" s="54" t="inlineStr">
        <is>
          <t>Manual visual detection rate at final inspection</t>
        </is>
      </c>
      <c r="B22" s="20" t="n">
        <v>0.85</v>
      </c>
    </row>
    <row r="23">
      <c r="A23" s="54" t="inlineStr">
        <is>
          <t>Share of sealer defect modes the in-line AI camera can see</t>
        </is>
      </c>
      <c r="B23" s="20" t="n">
        <v>0.7</v>
      </c>
    </row>
    <row r="24">
      <c r="A24" s="54" t="inlineStr">
        <is>
          <t>Units between sealer and today's final inspection</t>
        </is>
      </c>
      <c r="B24" s="63" t="n">
        <v>300</v>
      </c>
    </row>
    <row r="25">
      <c r="A25" s="54" t="inlineStr">
        <is>
          <t>Units built before manual feedback reaches the sealer</t>
        </is>
      </c>
      <c r="B25" s="63" t="n">
        <v>150</v>
      </c>
    </row>
    <row r="26">
      <c r="A26" s="54" t="inlineStr">
        <is>
          <t>Share of late-found defects scrapped</t>
        </is>
      </c>
      <c r="B26" s="20" t="n">
        <v>0.3</v>
      </c>
    </row>
    <row r="27">
      <c r="A27" s="54" t="inlineStr">
        <is>
          <t>Share of early-found defects scrapped</t>
        </is>
      </c>
      <c r="B27" s="20" t="n">
        <v>0.05</v>
      </c>
    </row>
    <row r="28">
      <c r="A28" s="54" t="inlineStr">
        <is>
          <t>Share of plant scrap from the pilot scope (team assumption)</t>
        </is>
      </c>
      <c r="B28" s="20" t="n">
        <v>0.4</v>
      </c>
    </row>
    <row r="29" ht="28" customHeight="1">
      <c r="A29" s="62" t="inlineStr">
        <is>
          <t>In-line check: 5 units after sealer, automatic feedback within 10 units, 90% detection on visible defect modes (case: AI camera in validation to Oct 2026).</t>
        </is>
      </c>
    </row>
    <row r="31">
      <c r="A31" s="3" t="inlineStr">
        <is>
          <t>Robustness: closed-loop (scenario 4) scrap reduction vs today when each assumption changes</t>
        </is>
      </c>
    </row>
    <row r="32">
      <c r="A32" s="55" t="inlineStr">
        <is>
          <t>Assumption</t>
        </is>
      </c>
      <c r="B32" s="55" t="inlineStr">
        <is>
          <t>Low</t>
        </is>
      </c>
      <c r="C32" s="55" t="inlineStr">
        <is>
          <t>Reduction</t>
        </is>
      </c>
      <c r="D32" s="55" t="inlineStr">
        <is>
          <t>Base</t>
        </is>
      </c>
      <c r="E32" s="55" t="inlineStr">
        <is>
          <t>Reduction</t>
        </is>
      </c>
      <c r="F32" s="55" t="inlineStr">
        <is>
          <t>High</t>
        </is>
      </c>
      <c r="G32" s="55" t="inlineStr">
        <is>
          <t>Reduction</t>
        </is>
      </c>
    </row>
    <row r="33">
      <c r="A33" s="3" t="inlineStr">
        <is>
          <t>AI camera coverage of defect modes</t>
        </is>
      </c>
      <c r="B33" s="20" t="n">
        <v>0.5</v>
      </c>
      <c r="C33" s="64" t="n">
        <v>0.8247043005741556</v>
      </c>
      <c r="D33" s="20" t="n">
        <v>0.7</v>
      </c>
      <c r="E33" s="64" t="n">
        <v>0.8468422609923756</v>
      </c>
      <c r="F33" s="20" t="n">
        <v>0.9</v>
      </c>
      <c r="G33" s="64" t="n">
        <v>0.8667088181512177</v>
      </c>
    </row>
    <row r="34">
      <c r="A34" s="3" t="inlineStr">
        <is>
          <t>Drift defect rate</t>
        </is>
      </c>
      <c r="B34" s="20" t="n">
        <v>0.1</v>
      </c>
      <c r="C34" s="64" t="n">
        <v>0.8026017993273447</v>
      </c>
      <c r="D34" s="20" t="n">
        <v>0.25</v>
      </c>
      <c r="E34" s="64" t="n">
        <v>0.8479906256107048</v>
      </c>
      <c r="F34" s="20" t="n">
        <v>0.4</v>
      </c>
      <c r="G34" s="64" t="n">
        <v>0.8649243431242232</v>
      </c>
    </row>
    <row r="35">
      <c r="A35" s="3" t="inlineStr">
        <is>
          <t>Units between drift events</t>
        </is>
      </c>
      <c r="B35" s="63" t="n">
        <v>2500</v>
      </c>
      <c r="C35" s="64" t="n">
        <v>0.8634074536698797</v>
      </c>
      <c r="D35" s="63" t="n">
        <v>5000</v>
      </c>
      <c r="E35" s="64" t="n">
        <v>0.8582510378017658</v>
      </c>
      <c r="F35" s="63" t="n">
        <v>10000</v>
      </c>
      <c r="G35" s="64" t="n">
        <v>0.8336816505910225</v>
      </c>
    </row>
    <row r="36">
      <c r="A36" s="3" t="inlineStr">
        <is>
          <t>Late-found scrap share</t>
        </is>
      </c>
      <c r="B36" s="20" t="n">
        <v>0.15</v>
      </c>
      <c r="C36" s="64" t="n">
        <v>0.8314626883200975</v>
      </c>
      <c r="D36" s="20" t="n">
        <v>0.3</v>
      </c>
      <c r="E36" s="64" t="n">
        <v>0.8538779573335564</v>
      </c>
      <c r="F36" s="20" t="n">
        <v>0.5</v>
      </c>
      <c r="G36" s="64" t="n">
        <v>0.8501771115300518</v>
      </c>
    </row>
    <row r="37">
      <c r="A37" s="3" t="inlineStr">
        <is>
          <t>Units from sealer to today's inspection</t>
        </is>
      </c>
      <c r="B37" s="63" t="n">
        <v>100</v>
      </c>
      <c r="C37" s="64" t="n">
        <v>0.8111230466252334</v>
      </c>
      <c r="D37" s="63" t="n">
        <v>300</v>
      </c>
      <c r="E37" s="64" t="n">
        <v>0.8492533988756621</v>
      </c>
      <c r="F37" s="63" t="n">
        <v>600</v>
      </c>
      <c r="G37" s="64" t="n">
        <v>0.8737976071910339</v>
      </c>
    </row>
    <row r="38">
      <c r="A38" s="3" t="inlineStr">
        <is>
          <t>Lowest scrap reduction across all tested cases: 80%. The mechanism holds even with pessimistic process assumptions.</t>
        </is>
      </c>
    </row>
    <row r="40">
      <c r="A40" s="3" t="inlineStr">
        <is>
          <t>People test: how much value is lost when operators dismiss alerts?</t>
        </is>
      </c>
    </row>
    <row r="41">
      <c r="A41" s="55" t="inlineStr">
        <is>
          <t>Share of drift episodes where alerts are dismissed</t>
        </is>
      </c>
      <c r="B41" s="55" t="inlineStr">
        <is>
          <t>Scrap reduction vs today</t>
        </is>
      </c>
    </row>
    <row r="42">
      <c r="A42" s="20" t="n">
        <v>0</v>
      </c>
      <c r="B42" s="64" t="n">
        <v>0.9392930243154951</v>
      </c>
    </row>
    <row r="43">
      <c r="A43" s="20" t="n">
        <v>0.1</v>
      </c>
      <c r="B43" s="64" t="n">
        <v>0.8445760803926541</v>
      </c>
    </row>
    <row r="44">
      <c r="A44" s="20" t="n">
        <v>0.2</v>
      </c>
      <c r="B44" s="64" t="n">
        <v>0.7497194978398884</v>
      </c>
    </row>
    <row r="45">
      <c r="A45" s="20" t="n">
        <v>0.31</v>
      </c>
      <c r="B45" s="64" t="n">
        <v>0.6431060163426193</v>
      </c>
    </row>
    <row r="46">
      <c r="A46" s="20" t="n">
        <v>0.5</v>
      </c>
      <c r="B46" s="64" t="n">
        <v>0.4964125733562145</v>
      </c>
    </row>
    <row r="47" ht="28" customHeight="1">
      <c r="A47" s="62" t="inlineStr">
        <is>
          <t>Exhibit 6B says 31% of operators frequently override alerts today. This chart is the quantified case for the people part of the idea.</t>
        </is>
      </c>
    </row>
    <row r="49">
      <c r="A49" s="3" t="inlineStr">
        <is>
          <t>TEST 2. Is the business case robust? Financial Monte Carlo (10,000 runs, mirrors the Model tab incl. pilot-light phasing)</t>
        </is>
      </c>
    </row>
    <row r="50">
      <c r="A50" s="55" t="inlineStr">
        <is>
          <t>Metric</t>
        </is>
      </c>
      <c r="B50" s="55" t="inlineStr">
        <is>
          <t>Value</t>
        </is>
      </c>
      <c r="C50" s="55" t="inlineStr">
        <is>
          <t>Note</t>
        </is>
      </c>
    </row>
    <row r="51">
      <c r="A51" s="3" t="inlineStr">
        <is>
          <t>Deterministic base NPV (check vs Model tab)</t>
        </is>
      </c>
      <c r="B51" s="65" t="n">
        <v>27.01403870465879</v>
      </c>
      <c r="C51" s="54" t="inlineStr">
        <is>
          <t>Should match Dashboard base NPV</t>
        </is>
      </c>
    </row>
    <row r="52">
      <c r="A52" s="3" t="inlineStr">
        <is>
          <t>Mean NPV</t>
        </is>
      </c>
      <c r="B52" s="65" t="n">
        <v>11.82360761131173</v>
      </c>
      <c r="C52" s="54" t="inlineStr">
        <is>
          <t>Rp billion</t>
        </is>
      </c>
    </row>
    <row r="53">
      <c r="A53" s="3" t="inlineStr">
        <is>
          <t>P5 NPV (bad case)</t>
        </is>
      </c>
      <c r="B53" s="65" t="n">
        <v>-19.41291040060244</v>
      </c>
      <c r="C53" s="54" t="inlineStr">
        <is>
          <t>1-in-20 downside</t>
        </is>
      </c>
    </row>
    <row r="54">
      <c r="A54" s="3" t="inlineStr">
        <is>
          <t>Median NPV</t>
        </is>
      </c>
      <c r="B54" s="65" t="n">
        <v>11.7084469092985</v>
      </c>
      <c r="C54" s="54" t="inlineStr"/>
    </row>
    <row r="55">
      <c r="A55" s="3" t="inlineStr">
        <is>
          <t>P95 NPV (good case)</t>
        </is>
      </c>
      <c r="B55" s="65" t="n">
        <v>43.10332192077205</v>
      </c>
      <c r="C55" s="54" t="inlineStr"/>
    </row>
    <row r="56">
      <c r="A56" s="3" t="inlineStr">
        <is>
          <t>Probability NPV &gt; 0</t>
        </is>
      </c>
      <c r="B56" s="64" t="n">
        <v>0.7311</v>
      </c>
      <c r="C56" s="54" t="inlineStr">
        <is>
          <t>Headline for the financial slide</t>
        </is>
      </c>
    </row>
    <row r="57">
      <c r="A57" s="3" t="inlineStr">
        <is>
          <t>Median full run-rate savings (Rp B/yr)</t>
        </is>
      </c>
      <c r="B57" s="65" t="n">
        <v>49.0844126012166</v>
      </c>
      <c r="C57" s="54" t="inlineStr"/>
    </row>
    <row r="58">
      <c r="A58" s="3" t="inlineStr">
        <is>
          <t>Median run-rate as % of conversion cost</t>
        </is>
      </c>
      <c r="B58" s="64" t="n">
        <v>0.08765073678788678</v>
      </c>
      <c r="C58" s="54" t="inlineStr">
        <is>
          <t>vs 16% gap to benchmark</t>
        </is>
      </c>
    </row>
    <row r="60">
      <c r="A60" s="3" t="inlineStr">
        <is>
          <t>TEST 2b. How should the roadmap spend the money? Same 10,000 runs, five strategies (gate = stop scaling if 2027 pilot adoption &lt; 80%; happens in 25% of runs)</t>
        </is>
      </c>
    </row>
    <row r="61">
      <c r="A61" s="55" t="inlineStr">
        <is>
          <t>Strategy</t>
        </is>
      </c>
      <c r="B61" s="55" t="inlineStr">
        <is>
          <t>Mean NPV</t>
        </is>
      </c>
      <c r="C61" s="55" t="inlineStr">
        <is>
          <t>P5 NPV</t>
        </is>
      </c>
      <c r="D61" s="55" t="inlineStr">
        <is>
          <t>Median NPV</t>
        </is>
      </c>
      <c r="E61" s="55" t="inlineStr">
        <is>
          <t>P95 NPV</t>
        </is>
      </c>
      <c r="F61" s="55" t="inlineStr">
        <is>
          <t>P(NPV &gt; 0)</t>
        </is>
      </c>
    </row>
    <row r="62">
      <c r="A62" s="66" t="inlineStr">
        <is>
          <t>A. Front-loaded phasing, no gate</t>
        </is>
      </c>
      <c r="B62" s="67" t="n">
        <v>-0.191332294676973</v>
      </c>
      <c r="C62" s="67" t="n">
        <v>-32.83255089311962</v>
      </c>
      <c r="D62" s="67" t="n">
        <v>-0.3737217276611755</v>
      </c>
      <c r="E62" s="67" t="n">
        <v>32.5044161216826</v>
      </c>
      <c r="F62" s="58" t="n">
        <v>0.4925</v>
      </c>
    </row>
    <row r="63">
      <c r="A63" s="66" t="inlineStr">
        <is>
          <t>B. Front-loaded phasing + gate (65% already spent)</t>
        </is>
      </c>
      <c r="B63" s="67" t="n">
        <v>-3.79967892697686</v>
      </c>
      <c r="C63" s="67" t="n">
        <v>-39.74590657971964</v>
      </c>
      <c r="D63" s="67" t="n">
        <v>-2.962350007986172</v>
      </c>
      <c r="E63" s="67" t="n">
        <v>32.40194504032392</v>
      </c>
      <c r="F63" s="58" t="n">
        <v>0.4518</v>
      </c>
    </row>
    <row r="64">
      <c r="A64" s="66" t="inlineStr">
        <is>
          <t>C. Pilot-light phasing, no gate (as in Model tab)</t>
        </is>
      </c>
      <c r="B64" s="67" t="n">
        <v>11.82360761131173</v>
      </c>
      <c r="C64" s="67" t="n">
        <v>-19.41291040060244</v>
      </c>
      <c r="D64" s="67" t="n">
        <v>11.7084469092985</v>
      </c>
      <c r="E64" s="67" t="n">
        <v>43.10332192077205</v>
      </c>
      <c r="F64" s="58" t="n">
        <v>0.7311</v>
      </c>
    </row>
    <row r="65">
      <c r="A65" s="68" t="inlineStr">
        <is>
          <t>D. Pilot-light phasing + gate</t>
        </is>
      </c>
      <c r="B65" s="69" t="n">
        <v>15.05090030021514</v>
      </c>
      <c r="C65" s="69" t="n">
        <v>-8.411626796801812</v>
      </c>
      <c r="D65" s="69" t="n">
        <v>13.32040175184729</v>
      </c>
      <c r="E65" s="69" t="n">
        <v>43.06772269056702</v>
      </c>
      <c r="F65" s="61" t="n">
        <v>0.8595</v>
      </c>
    </row>
    <row r="66">
      <c r="A66" s="66" t="inlineStr">
        <is>
          <t>E. D + remaining equipment life valued at book</t>
        </is>
      </c>
      <c r="B66" s="67" t="n">
        <v>36.01053481960803</v>
      </c>
      <c r="C66" s="67" t="n">
        <v>6.476777490438207</v>
      </c>
      <c r="D66" s="67" t="n">
        <v>36.96085240343595</v>
      </c>
      <c r="E66" s="67" t="n">
        <v>67.48368978517901</v>
      </c>
      <c r="F66" s="58" t="n">
        <v>0.9938</v>
      </c>
    </row>
    <row r="67">
      <c r="A67" s="66" t="inlineStr">
        <is>
          <t>F. D but savings ramp one year slower (stress test)</t>
        </is>
      </c>
      <c r="B67" s="67" t="n">
        <v>-7.534233621168762</v>
      </c>
      <c r="C67" s="67" t="n">
        <v>-31.89940806088983</v>
      </c>
      <c r="D67" s="67" t="n">
        <v>-5.542507323532465</v>
      </c>
      <c r="E67" s="67" t="n">
        <v>12.32550108470081</v>
      </c>
      <c r="F67" s="58" t="n">
        <v>0.3242</v>
      </c>
    </row>
    <row r="68">
      <c r="A68" s="66" t="inlineStr">
        <is>
          <t>G. F + remaining equipment life valued at book</t>
        </is>
      </c>
      <c r="B68" s="67" t="n">
        <v>13.42540089822414</v>
      </c>
      <c r="C68" s="67" t="n">
        <v>-3.778779125254701</v>
      </c>
      <c r="D68" s="67" t="n">
        <v>11.92716410770895</v>
      </c>
      <c r="E68" s="67" t="n">
        <v>35.1241416528562</v>
      </c>
      <c r="F68" s="58" t="n">
        <v>0.879</v>
      </c>
    </row>
    <row r="69" ht="30" customHeight="1">
      <c r="A69" s="62" t="inlineStr">
        <is>
          <t>Pilot-light phasing: 10% / 15% / 40% / 25% / 10% of capex in 2026-2030. Ramp-up kept the same to isolate the effect of phasing; if scaling later also delays savings, the gain is smaller.</t>
        </is>
      </c>
    </row>
    <row r="70" ht="58" customHeight="1">
      <c r="A70" s="9" t="inlineStr">
        <is>
          <t>Reading: a gate only protects value if little money is spent before it. Gate after heavy spending (B) destroys value; pilot-light + gate (D) is the design to defend in SQ3. Valuing equipment life beyond 2030 (E) is legitimate but state it openly. Stress test (F): if savings arrive a year late, P(NPV&gt;0) falls to 32% (88% if remaining equipment life is valued, G). Speed of the pilot is the make-or-break factor: quick wins in 2026-27 belong in the roadmap.</t>
        </is>
      </c>
    </row>
    <row r="71" ht="45" customHeight="1">
      <c r="A71" s="62" t="inlineStr">
        <is>
          <t>Ranges used (triangular low / mode / high): scrap 20/35/50%, maintenance 5/10/15%, NVA 15/30/45%, energy 2/5/8%, variant cost 20/35/50%, investment 60/80/110, running 8/9/12%, training 2/2.5/3, variant projects 2/3/5, cost per project 5/10/15, cash realization 30/50/70%, adoption 60/100/100%, labor share 35/40/45%.</t>
        </is>
      </c>
    </row>
    <row r="73">
      <c r="A73" s="3" t="inlineStr">
        <is>
          <t>NPV distribution (histogram)</t>
        </is>
      </c>
    </row>
    <row r="74">
      <c r="A74" s="55" t="inlineStr">
        <is>
          <t>NPV bin from (Rp B)</t>
        </is>
      </c>
      <c r="B74" s="55" t="inlineStr">
        <is>
          <t>Runs</t>
        </is>
      </c>
    </row>
    <row r="75">
      <c r="A75" s="65" t="n">
        <v>-51.6</v>
      </c>
      <c r="B75" s="70" t="n">
        <v>11</v>
      </c>
    </row>
    <row r="76">
      <c r="A76" s="65" t="n">
        <v>-41.6</v>
      </c>
      <c r="B76" s="70" t="n">
        <v>73</v>
      </c>
    </row>
    <row r="77">
      <c r="A77" s="65" t="n">
        <v>-31.5</v>
      </c>
      <c r="B77" s="70" t="n">
        <v>294</v>
      </c>
    </row>
    <row r="78">
      <c r="A78" s="65" t="n">
        <v>-21.5</v>
      </c>
      <c r="B78" s="70" t="n">
        <v>700</v>
      </c>
    </row>
    <row r="79">
      <c r="A79" s="65" t="n">
        <v>-11.5</v>
      </c>
      <c r="B79" s="70" t="n">
        <v>1367</v>
      </c>
    </row>
    <row r="80">
      <c r="A80" s="65" t="n">
        <v>-1.4</v>
      </c>
      <c r="B80" s="70" t="n">
        <v>1920</v>
      </c>
    </row>
    <row r="81">
      <c r="A81" s="65" t="n">
        <v>8.6</v>
      </c>
      <c r="B81" s="70" t="n">
        <v>2028</v>
      </c>
    </row>
    <row r="82">
      <c r="A82" s="65" t="n">
        <v>18.6</v>
      </c>
      <c r="B82" s="70" t="n">
        <v>1753</v>
      </c>
    </row>
    <row r="83">
      <c r="A83" s="65" t="n">
        <v>28.6</v>
      </c>
      <c r="B83" s="70" t="n">
        <v>1056</v>
      </c>
    </row>
    <row r="84">
      <c r="A84" s="65" t="n">
        <v>38.7</v>
      </c>
      <c r="B84" s="70" t="n">
        <v>560</v>
      </c>
    </row>
    <row r="85">
      <c r="A85" s="65" t="n">
        <v>48.7</v>
      </c>
      <c r="B85" s="70" t="n">
        <v>182</v>
      </c>
    </row>
    <row r="86">
      <c r="A86" s="65" t="n">
        <v>58.7</v>
      </c>
      <c r="B86" s="70" t="n">
        <v>43</v>
      </c>
    </row>
    <row r="87">
      <c r="A87" s="65" t="n">
        <v>68.8</v>
      </c>
      <c r="B87" s="70" t="n">
        <v>10</v>
      </c>
    </row>
    <row r="88">
      <c r="A88" s="65" t="n">
        <v>78.8</v>
      </c>
      <c r="B88" s="70" t="n">
        <v>2</v>
      </c>
    </row>
    <row r="89">
      <c r="A89" s="65" t="n">
        <v>88.8</v>
      </c>
      <c r="B89" s="70" t="n">
        <v>0</v>
      </c>
    </row>
    <row r="90">
      <c r="A90" s="65" t="n">
        <v>98.90000000000001</v>
      </c>
      <c r="B90" s="70" t="n">
        <v>1</v>
      </c>
    </row>
    <row r="92">
      <c r="A92" s="3" t="inlineStr">
        <is>
          <t>TEST 3. Which assumption matters most? Tornado (base case, one at a time)</t>
        </is>
      </c>
    </row>
    <row r="93">
      <c r="A93" s="55" t="inlineStr">
        <is>
          <t>Driver</t>
        </is>
      </c>
      <c r="B93" s="55" t="inlineStr">
        <is>
          <t>Low input</t>
        </is>
      </c>
      <c r="C93" s="55" t="inlineStr">
        <is>
          <t>High input</t>
        </is>
      </c>
      <c r="D93" s="55" t="inlineStr">
        <is>
          <t>NPV at low</t>
        </is>
      </c>
      <c r="E93" s="55" t="inlineStr">
        <is>
          <t>NPV at high</t>
        </is>
      </c>
      <c r="F93" s="55" t="inlineStr">
        <is>
          <t>Swing</t>
        </is>
      </c>
    </row>
    <row r="94">
      <c r="A94" s="71" t="inlineStr">
        <is>
          <t>Investment (Rp B)</t>
        </is>
      </c>
      <c r="B94" s="72" t="n">
        <v>110</v>
      </c>
      <c r="C94" s="72" t="n">
        <v>60</v>
      </c>
      <c r="D94" s="67" t="n">
        <v>-1.497910926203485</v>
      </c>
      <c r="E94" s="67" t="n">
        <v>46.02200512523363</v>
      </c>
      <c r="F94" s="67" t="n">
        <v>47.51991605143711</v>
      </c>
    </row>
    <row r="95">
      <c r="A95" s="71" t="inlineStr">
        <is>
          <t>Adoption achieved</t>
        </is>
      </c>
      <c r="B95" s="58" t="n">
        <v>0.6</v>
      </c>
      <c r="C95" s="72" t="n">
        <v>1</v>
      </c>
      <c r="D95" s="67" t="n">
        <v>-17.99510981953292</v>
      </c>
      <c r="E95" s="67" t="n">
        <v>27.01403870465879</v>
      </c>
      <c r="F95" s="67" t="n">
        <v>45.00914852419172</v>
      </c>
    </row>
    <row r="96">
      <c r="A96" s="71" t="inlineStr">
        <is>
          <t>Scrap reduction</t>
        </is>
      </c>
      <c r="B96" s="58" t="n">
        <v>0.2</v>
      </c>
      <c r="C96" s="58" t="n">
        <v>0.5</v>
      </c>
      <c r="D96" s="67" t="n">
        <v>7.376539348554191</v>
      </c>
      <c r="E96" s="67" t="n">
        <v>46.65153806076337</v>
      </c>
      <c r="F96" s="67" t="n">
        <v>39.27499871220918</v>
      </c>
    </row>
    <row r="97">
      <c r="A97" s="71" t="inlineStr">
        <is>
          <t>Variant projects / yr</t>
        </is>
      </c>
      <c r="B97" s="72" t="n">
        <v>2</v>
      </c>
      <c r="C97" s="72" t="n">
        <v>5</v>
      </c>
      <c r="D97" s="67" t="n">
        <v>18.83174730628188</v>
      </c>
      <c r="E97" s="67" t="n">
        <v>43.37862150141261</v>
      </c>
      <c r="F97" s="67" t="n">
        <v>24.54687419513073</v>
      </c>
    </row>
    <row r="98">
      <c r="A98" s="71" t="inlineStr">
        <is>
          <t>Cost per variant project</t>
        </is>
      </c>
      <c r="B98" s="72" t="n">
        <v>5</v>
      </c>
      <c r="C98" s="72" t="n">
        <v>15</v>
      </c>
      <c r="D98" s="67" t="n">
        <v>14.74060160709343</v>
      </c>
      <c r="E98" s="67" t="n">
        <v>39.28747580222415</v>
      </c>
      <c r="F98" s="67" t="n">
        <v>24.54687419513073</v>
      </c>
    </row>
    <row r="99">
      <c r="A99" s="71" t="inlineStr">
        <is>
          <t>Variant cost reduction</t>
        </is>
      </c>
      <c r="B99" s="58" t="n">
        <v>0.2</v>
      </c>
      <c r="C99" s="58" t="n">
        <v>0.5</v>
      </c>
      <c r="D99" s="67" t="n">
        <v>16.49394976388848</v>
      </c>
      <c r="E99" s="67" t="n">
        <v>37.5341276454291</v>
      </c>
      <c r="F99" s="67" t="n">
        <v>21.04017788154063</v>
      </c>
    </row>
    <row r="100">
      <c r="A100" s="71" t="inlineStr">
        <is>
          <t>Operator NVA eliminated</t>
        </is>
      </c>
      <c r="B100" s="58" t="n">
        <v>0.15</v>
      </c>
      <c r="C100" s="58" t="n">
        <v>0.45</v>
      </c>
      <c r="D100" s="67" t="n">
        <v>18.37353898797276</v>
      </c>
      <c r="E100" s="67" t="n">
        <v>35.6545384213448</v>
      </c>
      <c r="F100" s="67" t="n">
        <v>17.28099943337204</v>
      </c>
    </row>
    <row r="101">
      <c r="A101" s="71" t="inlineStr">
        <is>
          <t>Maintenance reduction</t>
        </is>
      </c>
      <c r="B101" s="58" t="n">
        <v>0.05</v>
      </c>
      <c r="C101" s="58" t="n">
        <v>0.15</v>
      </c>
      <c r="D101" s="67" t="n">
        <v>18.50445565034678</v>
      </c>
      <c r="E101" s="67" t="n">
        <v>35.52362175897076</v>
      </c>
      <c r="F101" s="67" t="n">
        <v>17.01916610862397</v>
      </c>
    </row>
    <row r="102">
      <c r="A102" s="71" t="inlineStr">
        <is>
          <t>Energy reduction</t>
        </is>
      </c>
      <c r="B102" s="58" t="n">
        <v>0.02</v>
      </c>
      <c r="C102" s="58" t="n">
        <v>0.08</v>
      </c>
      <c r="D102" s="67" t="n">
        <v>22.30103885919367</v>
      </c>
      <c r="E102" s="67" t="n">
        <v>31.72703855012389</v>
      </c>
      <c r="F102" s="67" t="n">
        <v>9.425999690930212</v>
      </c>
    </row>
    <row r="103">
      <c r="A103" s="71" t="inlineStr">
        <is>
          <t>Running cost %</t>
        </is>
      </c>
      <c r="B103" s="58" t="n">
        <v>0.12</v>
      </c>
      <c r="C103" s="58" t="n">
        <v>0.08</v>
      </c>
      <c r="D103" s="67" t="n">
        <v>23.77962476124955</v>
      </c>
      <c r="E103" s="67" t="n">
        <v>30.24845264806801</v>
      </c>
      <c r="F103" s="67" t="n">
        <v>6.468827886818463</v>
      </c>
    </row>
    <row r="104">
      <c r="A104" s="3" t="inlineStr">
        <is>
          <t>Use the top 2-3 drivers as the assumptions you defend hardest in Q&amp;A, and as the KPIs you track first in the pilot.</t>
        </is>
      </c>
    </row>
  </sheetData>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H104"/>
  <sheetViews>
    <sheetView workbookViewId="0">
      <selection activeCell="A1" sqref="A1"/>
    </sheetView>
  </sheetViews>
  <sheetFormatPr baseColWidth="8" defaultRowHeight="15"/>
  <cols>
    <col width="62" customWidth="1" min="1" max="1"/>
    <col width="18" customWidth="1" min="2" max="2"/>
    <col width="18" customWidth="1" min="3" max="3"/>
    <col width="18" customWidth="1" min="4" max="4"/>
    <col width="20" customWidth="1" min="5" max="5"/>
    <col width="14" customWidth="1" min="6" max="6"/>
    <col width="14" customWidth="1" min="7" max="7"/>
    <col width="16" customWidth="1" min="8" max="8"/>
  </cols>
  <sheetData>
    <row r="1">
      <c r="A1" s="1" t="inlineStr">
        <is>
          <t>Idea tests: simulation results (values produced by run_tests.py, not formulas)</t>
        </is>
      </c>
    </row>
    <row r="2">
      <c r="A2" s="54" t="inlineStr">
        <is>
          <t>Re-run run_tests.py after changing assumptions. Process parameters below are illustrative assumptions, not TMMIN data: present them as a mechanism test, and show the sensitivity.</t>
        </is>
      </c>
    </row>
    <row r="4">
      <c r="A4" s="3" t="inlineStr">
        <is>
          <t>TEST 1. Does closing the quality loop beat adding technology alone? (sealer drift -&gt; inspection -&gt; feedback, 1 year, 175,000 units, 300 runs)</t>
        </is>
      </c>
    </row>
    <row r="5">
      <c r="A5" s="55" t="inlineStr">
        <is>
          <t>Scenario</t>
        </is>
      </c>
      <c r="B5" s="55" t="inlineStr">
        <is>
          <t>Defective units / yr</t>
        </is>
      </c>
      <c r="C5" s="55" t="inlineStr">
        <is>
          <t>Scrapped units / yr</t>
        </is>
      </c>
      <c r="D5" s="55" t="inlineStr">
        <is>
          <t>Escaped defects / yr</t>
        </is>
      </c>
      <c r="E5" s="55" t="inlineStr">
        <is>
          <t>Units built while drifting</t>
        </is>
      </c>
      <c r="F5" s="55" t="inlineStr">
        <is>
          <t>Scrap vs today</t>
        </is>
      </c>
      <c r="G5" s="55" t="inlineStr">
        <is>
          <t>Escapes vs today</t>
        </is>
      </c>
      <c r="H5" s="55" t="inlineStr">
        <is>
          <t>Scrap P5-P95</t>
        </is>
      </c>
    </row>
    <row r="6">
      <c r="A6" s="56" t="inlineStr">
        <is>
          <t>1. Today: visual at final inspection, manual feedback</t>
        </is>
      </c>
      <c r="B6" s="57" t="n">
        <v>4266.68</v>
      </c>
      <c r="C6" s="57" t="n">
        <v>1088.524</v>
      </c>
      <c r="D6" s="57" t="n">
        <v>638.2666666666667</v>
      </c>
      <c r="E6" s="57" t="n">
        <v>15796.09333333333</v>
      </c>
      <c r="F6" s="58" t="n">
        <v>0</v>
      </c>
      <c r="G6" s="58" t="n">
        <v>0</v>
      </c>
      <c r="H6" s="57" t="inlineStr">
        <is>
          <t>835 - 1,365</t>
        </is>
      </c>
    </row>
    <row r="7">
      <c r="A7" s="56" t="inlineStr">
        <is>
          <t>2. Better camera at end-of-line only (tech, no loop)</t>
        </is>
      </c>
      <c r="B7" s="57" t="n">
        <v>4265.323333333334</v>
      </c>
      <c r="C7" s="57" t="n">
        <v>1215.776</v>
      </c>
      <c r="D7" s="57" t="n">
        <v>212.7366666666667</v>
      </c>
      <c r="E7" s="57" t="n">
        <v>15793.25666666667</v>
      </c>
      <c r="F7" s="58" t="n">
        <v>0.1169032561523677</v>
      </c>
      <c r="G7" s="58" t="n">
        <v>-0.6666962607060789</v>
      </c>
      <c r="H7" s="57" t="inlineStr">
        <is>
          <t>910 - 1,492</t>
        </is>
      </c>
    </row>
    <row r="8">
      <c r="A8" s="56" t="inlineStr">
        <is>
          <t>3. Closed loop at sealer, 31% of alerts dismissed (as today)</t>
        </is>
      </c>
      <c r="B8" s="57" t="n">
        <v>1652.95</v>
      </c>
      <c r="C8" s="57" t="n">
        <v>362.1536666666667</v>
      </c>
      <c r="D8" s="57" t="n">
        <v>203.26</v>
      </c>
      <c r="E8" s="57" t="n">
        <v>5247.72</v>
      </c>
      <c r="F8" s="58" t="n">
        <v>-0.6672984089770491</v>
      </c>
      <c r="G8" s="58" t="n">
        <v>-0.6815437643618132</v>
      </c>
      <c r="H8" s="57" t="inlineStr">
        <is>
          <t>216 - 543</t>
        </is>
      </c>
    </row>
    <row r="9">
      <c r="A9" s="59" t="inlineStr">
        <is>
          <t>4. Closed loop with people-centred design (10% dismissed)</t>
        </is>
      </c>
      <c r="B9" s="60" t="n">
        <v>908.3233333333334</v>
      </c>
      <c r="C9" s="60" t="n">
        <v>166.8633333333333</v>
      </c>
      <c r="D9" s="60" t="n">
        <v>88.00666666666666</v>
      </c>
      <c r="E9" s="60" t="n">
        <v>2257.006666666667</v>
      </c>
      <c r="F9" s="61" t="n">
        <v>-0.8467067943992661</v>
      </c>
      <c r="G9" s="61" t="n">
        <v>-0.862116147900564</v>
      </c>
      <c r="H9" s="60" t="inlineStr">
        <is>
          <t>83 - 270</t>
        </is>
      </c>
    </row>
    <row r="11">
      <c r="A11" s="3" t="inlineStr">
        <is>
          <t>What this shows</t>
        </is>
      </c>
    </row>
    <row r="12" ht="28" customHeight="1">
      <c r="A12" s="62" t="inlineStr">
        <is>
          <t>- A better camera at end-of-line alone changes scrap by +12% while escapes fall 67%: it catches more bad units, but too late, so escapes turn into scrap. It does not prevent defects.</t>
        </is>
      </c>
    </row>
    <row r="13" ht="28" customHeight="1">
      <c r="A13" s="62" t="inlineStr">
        <is>
          <t>- Closing the loop right after the sealer cuts scrap 85% and escapes 86%, because a drift is stopped within a few units instead of hundreds.</t>
        </is>
      </c>
    </row>
    <row r="14" ht="28" customHeight="1">
      <c r="A14" s="62" t="inlineStr">
        <is>
          <t>- If operators dismiss alerts in 31% of drift episodes (today's override rate), scrap reduction falls to 67%. Trust, training and alert design are part of the value, not an add-on.</t>
        </is>
      </c>
    </row>
    <row r="15" ht="28" customHeight="1">
      <c r="A15" s="62" t="inlineStr">
        <is>
          <t>- Plant-wide: if the pilot scope causes 40% of plant scrap (team assumption), the plant-wide scrap cut is about 34%. Compare with the 20% / 35% / 50% lever in Assumptions.</t>
        </is>
      </c>
    </row>
    <row r="16" ht="28" customHeight="1">
      <c r="A16" s="62" t="inlineStr">
        <is>
          <t>- Deck message: value comes from redesigning the system (where the check sits, how fast the signal travels, who acts on it), not from buying the device. That is exactly the case ask.</t>
        </is>
      </c>
    </row>
    <row r="18">
      <c r="A18" s="3" t="inlineStr">
        <is>
          <t>Process assumptions used (illustrative, change and re-run)</t>
        </is>
      </c>
    </row>
    <row r="19">
      <c r="A19" s="54" t="inlineStr">
        <is>
          <t>Defect probability per unit, stable sealer</t>
        </is>
      </c>
      <c r="B19" s="20" t="n">
        <v>0.002</v>
      </c>
    </row>
    <row r="20">
      <c r="A20" s="54" t="inlineStr">
        <is>
          <t>Average units between drift events</t>
        </is>
      </c>
      <c r="B20" s="63" t="n">
        <v>5000</v>
      </c>
    </row>
    <row r="21">
      <c r="A21" s="54" t="inlineStr">
        <is>
          <t>Defect probability per unit while drifting</t>
        </is>
      </c>
      <c r="B21" s="20" t="n">
        <v>0.25</v>
      </c>
    </row>
    <row r="22">
      <c r="A22" s="54" t="inlineStr">
        <is>
          <t>Manual visual detection rate at final inspection</t>
        </is>
      </c>
      <c r="B22" s="20" t="n">
        <v>0.85</v>
      </c>
    </row>
    <row r="23">
      <c r="A23" s="54" t="inlineStr">
        <is>
          <t>Share of sealer defect modes the in-line AI camera can see</t>
        </is>
      </c>
      <c r="B23" s="20" t="n">
        <v>0.7</v>
      </c>
    </row>
    <row r="24">
      <c r="A24" s="54" t="inlineStr">
        <is>
          <t>Units between sealer and today's final inspection</t>
        </is>
      </c>
      <c r="B24" s="63" t="n">
        <v>300</v>
      </c>
    </row>
    <row r="25">
      <c r="A25" s="54" t="inlineStr">
        <is>
          <t>Units built before manual feedback reaches the sealer</t>
        </is>
      </c>
      <c r="B25" s="63" t="n">
        <v>150</v>
      </c>
    </row>
    <row r="26">
      <c r="A26" s="54" t="inlineStr">
        <is>
          <t>Share of late-found defects scrapped</t>
        </is>
      </c>
      <c r="B26" s="20" t="n">
        <v>0.3</v>
      </c>
    </row>
    <row r="27">
      <c r="A27" s="54" t="inlineStr">
        <is>
          <t>Share of early-found defects scrapped</t>
        </is>
      </c>
      <c r="B27" s="20" t="n">
        <v>0.05</v>
      </c>
    </row>
    <row r="28">
      <c r="A28" s="54" t="inlineStr">
        <is>
          <t>Share of plant scrap from the pilot scope (team assumption)</t>
        </is>
      </c>
      <c r="B28" s="20" t="n">
        <v>0.4</v>
      </c>
    </row>
    <row r="29" ht="28" customHeight="1">
      <c r="A29" s="62" t="inlineStr">
        <is>
          <t>In-line check: 5 units after sealer, automatic feedback within 10 units, 90% detection on visible defect modes (case: AI camera in validation to Oct 2026).</t>
        </is>
      </c>
    </row>
    <row r="31">
      <c r="A31" s="3" t="inlineStr">
        <is>
          <t>Robustness: closed-loop (scenario 4) scrap reduction vs today when each assumption changes</t>
        </is>
      </c>
    </row>
    <row r="32">
      <c r="A32" s="55" t="inlineStr">
        <is>
          <t>Assumption</t>
        </is>
      </c>
      <c r="B32" s="55" t="inlineStr">
        <is>
          <t>Low</t>
        </is>
      </c>
      <c r="C32" s="55" t="inlineStr">
        <is>
          <t>Reduction</t>
        </is>
      </c>
      <c r="D32" s="55" t="inlineStr">
        <is>
          <t>Base</t>
        </is>
      </c>
      <c r="E32" s="55" t="inlineStr">
        <is>
          <t>Reduction</t>
        </is>
      </c>
      <c r="F32" s="55" t="inlineStr">
        <is>
          <t>High</t>
        </is>
      </c>
      <c r="G32" s="55" t="inlineStr">
        <is>
          <t>Reduction</t>
        </is>
      </c>
    </row>
    <row r="33">
      <c r="A33" s="3" t="inlineStr">
        <is>
          <t>AI camera coverage of defect modes</t>
        </is>
      </c>
      <c r="B33" s="20" t="n">
        <v>0.5</v>
      </c>
      <c r="C33" s="64" t="n">
        <v>0.8247043005741556</v>
      </c>
      <c r="D33" s="20" t="n">
        <v>0.7</v>
      </c>
      <c r="E33" s="64" t="n">
        <v>0.8468422609923756</v>
      </c>
      <c r="F33" s="20" t="n">
        <v>0.9</v>
      </c>
      <c r="G33" s="64" t="n">
        <v>0.8667088181512177</v>
      </c>
    </row>
    <row r="34">
      <c r="A34" s="3" t="inlineStr">
        <is>
          <t>Drift defect rate</t>
        </is>
      </c>
      <c r="B34" s="20" t="n">
        <v>0.1</v>
      </c>
      <c r="C34" s="64" t="n">
        <v>0.8026017993273447</v>
      </c>
      <c r="D34" s="20" t="n">
        <v>0.25</v>
      </c>
      <c r="E34" s="64" t="n">
        <v>0.8479906256107048</v>
      </c>
      <c r="F34" s="20" t="n">
        <v>0.4</v>
      </c>
      <c r="G34" s="64" t="n">
        <v>0.8649243431242232</v>
      </c>
    </row>
    <row r="35">
      <c r="A35" s="3" t="inlineStr">
        <is>
          <t>Units between drift events</t>
        </is>
      </c>
      <c r="B35" s="63" t="n">
        <v>2500</v>
      </c>
      <c r="C35" s="64" t="n">
        <v>0.8634074536698797</v>
      </c>
      <c r="D35" s="63" t="n">
        <v>5000</v>
      </c>
      <c r="E35" s="64" t="n">
        <v>0.8582510378017658</v>
      </c>
      <c r="F35" s="63" t="n">
        <v>10000</v>
      </c>
      <c r="G35" s="64" t="n">
        <v>0.8336816505910225</v>
      </c>
    </row>
    <row r="36">
      <c r="A36" s="3" t="inlineStr">
        <is>
          <t>Late-found scrap share</t>
        </is>
      </c>
      <c r="B36" s="20" t="n">
        <v>0.15</v>
      </c>
      <c r="C36" s="64" t="n">
        <v>0.8314626883200975</v>
      </c>
      <c r="D36" s="20" t="n">
        <v>0.3</v>
      </c>
      <c r="E36" s="64" t="n">
        <v>0.8538779573335564</v>
      </c>
      <c r="F36" s="20" t="n">
        <v>0.5</v>
      </c>
      <c r="G36" s="64" t="n">
        <v>0.8501771115300518</v>
      </c>
    </row>
    <row r="37">
      <c r="A37" s="3" t="inlineStr">
        <is>
          <t>Units from sealer to today's inspection</t>
        </is>
      </c>
      <c r="B37" s="63" t="n">
        <v>100</v>
      </c>
      <c r="C37" s="64" t="n">
        <v>0.8111230466252334</v>
      </c>
      <c r="D37" s="63" t="n">
        <v>300</v>
      </c>
      <c r="E37" s="64" t="n">
        <v>0.8492533988756621</v>
      </c>
      <c r="F37" s="63" t="n">
        <v>600</v>
      </c>
      <c r="G37" s="64" t="n">
        <v>0.8737976071910339</v>
      </c>
    </row>
    <row r="38">
      <c r="A38" s="3" t="inlineStr">
        <is>
          <t>Lowest scrap reduction across all tested cases: 80%. The mechanism holds even with pessimistic process assumptions.</t>
        </is>
      </c>
    </row>
    <row r="40">
      <c r="A40" s="3" t="inlineStr">
        <is>
          <t>People test: how much value is lost when operators dismiss alerts?</t>
        </is>
      </c>
    </row>
    <row r="41">
      <c r="A41" s="55" t="inlineStr">
        <is>
          <t>Share of drift episodes where alerts are dismissed</t>
        </is>
      </c>
      <c r="B41" s="55" t="inlineStr">
        <is>
          <t>Scrap reduction vs today</t>
        </is>
      </c>
    </row>
    <row r="42">
      <c r="A42" s="20" t="n">
        <v>0</v>
      </c>
      <c r="B42" s="64" t="n">
        <v>0.9392930243154951</v>
      </c>
    </row>
    <row r="43">
      <c r="A43" s="20" t="n">
        <v>0.1</v>
      </c>
      <c r="B43" s="64" t="n">
        <v>0.8445760803926541</v>
      </c>
    </row>
    <row r="44">
      <c r="A44" s="20" t="n">
        <v>0.2</v>
      </c>
      <c r="B44" s="64" t="n">
        <v>0.7497194978398884</v>
      </c>
    </row>
    <row r="45">
      <c r="A45" s="20" t="n">
        <v>0.31</v>
      </c>
      <c r="B45" s="64" t="n">
        <v>0.6431060163426193</v>
      </c>
    </row>
    <row r="46">
      <c r="A46" s="20" t="n">
        <v>0.5</v>
      </c>
      <c r="B46" s="64" t="n">
        <v>0.4964125733562145</v>
      </c>
    </row>
    <row r="47" ht="28" customHeight="1">
      <c r="A47" s="62" t="inlineStr">
        <is>
          <t>Exhibit 6B says 31% of operators frequently override alerts today. This chart is the quantified case for the people part of the idea.</t>
        </is>
      </c>
    </row>
    <row r="49">
      <c r="A49" s="3" t="inlineStr">
        <is>
          <t>TEST 2. Is the business case robust? Financial Monte Carlo (10,000 runs, mirrors the Model tab incl. pilot-light phasing)</t>
        </is>
      </c>
    </row>
    <row r="50">
      <c r="A50" s="55" t="inlineStr">
        <is>
          <t>Metric</t>
        </is>
      </c>
      <c r="B50" s="55" t="inlineStr">
        <is>
          <t>Value</t>
        </is>
      </c>
      <c r="C50" s="55" t="inlineStr">
        <is>
          <t>Note</t>
        </is>
      </c>
    </row>
    <row r="51">
      <c r="A51" s="3" t="inlineStr">
        <is>
          <t>Deterministic base NPV (check vs Model tab)</t>
        </is>
      </c>
      <c r="B51" s="65" t="n">
        <v>27.01403870465879</v>
      </c>
      <c r="C51" s="54" t="inlineStr">
        <is>
          <t>Should match Dashboard base NPV</t>
        </is>
      </c>
    </row>
    <row r="52">
      <c r="A52" s="3" t="inlineStr">
        <is>
          <t>Mean NPV</t>
        </is>
      </c>
      <c r="B52" s="65" t="n">
        <v>11.82360761131173</v>
      </c>
      <c r="C52" s="54" t="inlineStr">
        <is>
          <t>Rp billion</t>
        </is>
      </c>
    </row>
    <row r="53">
      <c r="A53" s="3" t="inlineStr">
        <is>
          <t>P5 NPV (bad case)</t>
        </is>
      </c>
      <c r="B53" s="65" t="n">
        <v>-19.41291040060244</v>
      </c>
      <c r="C53" s="54" t="inlineStr">
        <is>
          <t>1-in-20 downside</t>
        </is>
      </c>
    </row>
    <row r="54">
      <c r="A54" s="3" t="inlineStr">
        <is>
          <t>Median NPV</t>
        </is>
      </c>
      <c r="B54" s="65" t="n">
        <v>11.7084469092985</v>
      </c>
      <c r="C54" s="54" t="inlineStr"/>
    </row>
    <row r="55">
      <c r="A55" s="3" t="inlineStr">
        <is>
          <t>P95 NPV (good case)</t>
        </is>
      </c>
      <c r="B55" s="65" t="n">
        <v>43.10332192077205</v>
      </c>
      <c r="C55" s="54" t="inlineStr"/>
    </row>
    <row r="56">
      <c r="A56" s="3" t="inlineStr">
        <is>
          <t>Probability NPV &gt; 0</t>
        </is>
      </c>
      <c r="B56" s="64" t="n">
        <v>0.7311</v>
      </c>
      <c r="C56" s="54" t="inlineStr">
        <is>
          <t>Headline for the financial slide</t>
        </is>
      </c>
    </row>
    <row r="57">
      <c r="A57" s="3" t="inlineStr">
        <is>
          <t>Median full run-rate savings (Rp B/yr)</t>
        </is>
      </c>
      <c r="B57" s="65" t="n">
        <v>49.0844126012166</v>
      </c>
      <c r="C57" s="54" t="inlineStr"/>
    </row>
    <row r="58">
      <c r="A58" s="3" t="inlineStr">
        <is>
          <t>Median run-rate as % of conversion cost</t>
        </is>
      </c>
      <c r="B58" s="64" t="n">
        <v>0.08765073678788678</v>
      </c>
      <c r="C58" s="54" t="inlineStr">
        <is>
          <t>vs 16% gap to benchmark</t>
        </is>
      </c>
    </row>
    <row r="60">
      <c r="A60" s="3" t="inlineStr">
        <is>
          <t>TEST 2b. How should the roadmap spend the money? Same 10,000 runs, five strategies (gate = stop scaling if 2027 pilot adoption &lt; 80%; happens in 25% of runs)</t>
        </is>
      </c>
    </row>
    <row r="61">
      <c r="A61" s="55" t="inlineStr">
        <is>
          <t>Strategy</t>
        </is>
      </c>
      <c r="B61" s="55" t="inlineStr">
        <is>
          <t>Mean NPV</t>
        </is>
      </c>
      <c r="C61" s="55" t="inlineStr">
        <is>
          <t>P5 NPV</t>
        </is>
      </c>
      <c r="D61" s="55" t="inlineStr">
        <is>
          <t>Median NPV</t>
        </is>
      </c>
      <c r="E61" s="55" t="inlineStr">
        <is>
          <t>P95 NPV</t>
        </is>
      </c>
      <c r="F61" s="55" t="inlineStr">
        <is>
          <t>P(NPV &gt; 0)</t>
        </is>
      </c>
    </row>
    <row r="62">
      <c r="A62" s="66" t="inlineStr">
        <is>
          <t>A. Front-loaded phasing, no gate</t>
        </is>
      </c>
      <c r="B62" s="67" t="n">
        <v>-0.191332294676973</v>
      </c>
      <c r="C62" s="67" t="n">
        <v>-32.83255089311962</v>
      </c>
      <c r="D62" s="67" t="n">
        <v>-0.3737217276611755</v>
      </c>
      <c r="E62" s="67" t="n">
        <v>32.5044161216826</v>
      </c>
      <c r="F62" s="58" t="n">
        <v>0.4925</v>
      </c>
    </row>
    <row r="63">
      <c r="A63" s="66" t="inlineStr">
        <is>
          <t>B. Front-loaded phasing + gate (65% already spent)</t>
        </is>
      </c>
      <c r="B63" s="67" t="n">
        <v>-3.79967892697686</v>
      </c>
      <c r="C63" s="67" t="n">
        <v>-39.74590657971964</v>
      </c>
      <c r="D63" s="67" t="n">
        <v>-2.962350007986172</v>
      </c>
      <c r="E63" s="67" t="n">
        <v>32.40194504032392</v>
      </c>
      <c r="F63" s="58" t="n">
        <v>0.4518</v>
      </c>
    </row>
    <row r="64">
      <c r="A64" s="66" t="inlineStr">
        <is>
          <t>C. Pilot-light phasing, no gate (as in Model tab)</t>
        </is>
      </c>
      <c r="B64" s="67" t="n">
        <v>11.82360761131173</v>
      </c>
      <c r="C64" s="67" t="n">
        <v>-19.41291040060244</v>
      </c>
      <c r="D64" s="67" t="n">
        <v>11.7084469092985</v>
      </c>
      <c r="E64" s="67" t="n">
        <v>43.10332192077205</v>
      </c>
      <c r="F64" s="58" t="n">
        <v>0.7311</v>
      </c>
    </row>
    <row r="65">
      <c r="A65" s="68" t="inlineStr">
        <is>
          <t>D. Pilot-light phasing + gate</t>
        </is>
      </c>
      <c r="B65" s="69" t="n">
        <v>15.05090030021514</v>
      </c>
      <c r="C65" s="69" t="n">
        <v>-8.411626796801812</v>
      </c>
      <c r="D65" s="69" t="n">
        <v>13.32040175184729</v>
      </c>
      <c r="E65" s="69" t="n">
        <v>43.06772269056702</v>
      </c>
      <c r="F65" s="61" t="n">
        <v>0.8595</v>
      </c>
    </row>
    <row r="66">
      <c r="A66" s="66" t="inlineStr">
        <is>
          <t>E. D + remaining equipment life valued at book</t>
        </is>
      </c>
      <c r="B66" s="67" t="n">
        <v>36.01053481960803</v>
      </c>
      <c r="C66" s="67" t="n">
        <v>6.476777490438207</v>
      </c>
      <c r="D66" s="67" t="n">
        <v>36.96085240343595</v>
      </c>
      <c r="E66" s="67" t="n">
        <v>67.48368978517901</v>
      </c>
      <c r="F66" s="58" t="n">
        <v>0.9938</v>
      </c>
    </row>
    <row r="67">
      <c r="A67" s="66" t="inlineStr">
        <is>
          <t>F. D but savings ramp one year slower (stress test)</t>
        </is>
      </c>
      <c r="B67" s="67" t="n">
        <v>-7.534233621168762</v>
      </c>
      <c r="C67" s="67" t="n">
        <v>-31.89940806088983</v>
      </c>
      <c r="D67" s="67" t="n">
        <v>-5.542507323532465</v>
      </c>
      <c r="E67" s="67" t="n">
        <v>12.32550108470081</v>
      </c>
      <c r="F67" s="58" t="n">
        <v>0.3242</v>
      </c>
    </row>
    <row r="68">
      <c r="A68" s="66" t="inlineStr">
        <is>
          <t>G. F + remaining equipment life valued at book</t>
        </is>
      </c>
      <c r="B68" s="67" t="n">
        <v>13.42540089822414</v>
      </c>
      <c r="C68" s="67" t="n">
        <v>-3.778779125254701</v>
      </c>
      <c r="D68" s="67" t="n">
        <v>11.92716410770895</v>
      </c>
      <c r="E68" s="67" t="n">
        <v>35.1241416528562</v>
      </c>
      <c r="F68" s="58" t="n">
        <v>0.879</v>
      </c>
    </row>
    <row r="69" ht="30" customHeight="1">
      <c r="A69" s="62" t="inlineStr">
        <is>
          <t>Pilot-light phasing: 10% / 15% / 40% / 25% / 10% of capex in 2026-2030. Ramp-up kept the same to isolate the effect of phasing; if scaling later also delays savings, the gain is smaller.</t>
        </is>
      </c>
    </row>
    <row r="70" ht="58" customHeight="1">
      <c r="A70" s="9" t="inlineStr">
        <is>
          <t>Reading: a gate only protects value if little money is spent before it. Gate after heavy spending (B) destroys value; pilot-light + gate (D) is the design to defend in SQ3. Valuing equipment life beyond 2030 (E) is legitimate but state it openly. Stress test (F): if savings arrive a year late, P(NPV&gt;0) falls to 32% (88% if remaining equipment life is valued, G). Speed of the pilot is the make-or-break factor: quick wins in 2026-27 belong in the roadmap.</t>
        </is>
      </c>
    </row>
    <row r="71" ht="45" customHeight="1">
      <c r="A71" s="62" t="inlineStr">
        <is>
          <t>Ranges used (triangular low / mode / high): scrap 20/35/50%, maintenance 5/10/15%, NVA 15/30/45%, energy 2/5/8%, variant cost 20/35/50%, investment 60/80/110, running 8/9/12%, training 2/2.5/3, variant projects 2/3/5, cost per project 5/10/15, cash realization 30/50/70%, adoption 60/100/100%, labor share 35/40/45%.</t>
        </is>
      </c>
    </row>
    <row r="73">
      <c r="A73" s="3" t="inlineStr">
        <is>
          <t>NPV distribution (histogram)</t>
        </is>
      </c>
    </row>
    <row r="74">
      <c r="A74" s="55" t="inlineStr">
        <is>
          <t>NPV bin from (Rp B)</t>
        </is>
      </c>
      <c r="B74" s="55" t="inlineStr">
        <is>
          <t>Runs</t>
        </is>
      </c>
    </row>
    <row r="75">
      <c r="A75" s="65" t="n">
        <v>-51.6</v>
      </c>
      <c r="B75" s="70" t="n">
        <v>11</v>
      </c>
    </row>
    <row r="76">
      <c r="A76" s="65" t="n">
        <v>-41.6</v>
      </c>
      <c r="B76" s="70" t="n">
        <v>73</v>
      </c>
    </row>
    <row r="77">
      <c r="A77" s="65" t="n">
        <v>-31.5</v>
      </c>
      <c r="B77" s="70" t="n">
        <v>294</v>
      </c>
    </row>
    <row r="78">
      <c r="A78" s="65" t="n">
        <v>-21.5</v>
      </c>
      <c r="B78" s="70" t="n">
        <v>700</v>
      </c>
    </row>
    <row r="79">
      <c r="A79" s="65" t="n">
        <v>-11.5</v>
      </c>
      <c r="B79" s="70" t="n">
        <v>1367</v>
      </c>
    </row>
    <row r="80">
      <c r="A80" s="65" t="n">
        <v>-1.4</v>
      </c>
      <c r="B80" s="70" t="n">
        <v>1920</v>
      </c>
    </row>
    <row r="81">
      <c r="A81" s="65" t="n">
        <v>8.6</v>
      </c>
      <c r="B81" s="70" t="n">
        <v>2028</v>
      </c>
    </row>
    <row r="82">
      <c r="A82" s="65" t="n">
        <v>18.6</v>
      </c>
      <c r="B82" s="70" t="n">
        <v>1753</v>
      </c>
    </row>
    <row r="83">
      <c r="A83" s="65" t="n">
        <v>28.6</v>
      </c>
      <c r="B83" s="70" t="n">
        <v>1056</v>
      </c>
    </row>
    <row r="84">
      <c r="A84" s="65" t="n">
        <v>38.7</v>
      </c>
      <c r="B84" s="70" t="n">
        <v>560</v>
      </c>
    </row>
    <row r="85">
      <c r="A85" s="65" t="n">
        <v>48.7</v>
      </c>
      <c r="B85" s="70" t="n">
        <v>182</v>
      </c>
    </row>
    <row r="86">
      <c r="A86" s="65" t="n">
        <v>58.7</v>
      </c>
      <c r="B86" s="70" t="n">
        <v>43</v>
      </c>
    </row>
    <row r="87">
      <c r="A87" s="65" t="n">
        <v>68.8</v>
      </c>
      <c r="B87" s="70" t="n">
        <v>10</v>
      </c>
    </row>
    <row r="88">
      <c r="A88" s="65" t="n">
        <v>78.8</v>
      </c>
      <c r="B88" s="70" t="n">
        <v>2</v>
      </c>
    </row>
    <row r="89">
      <c r="A89" s="65" t="n">
        <v>88.8</v>
      </c>
      <c r="B89" s="70" t="n">
        <v>0</v>
      </c>
    </row>
    <row r="90">
      <c r="A90" s="65" t="n">
        <v>98.90000000000001</v>
      </c>
      <c r="B90" s="70" t="n">
        <v>1</v>
      </c>
    </row>
    <row r="92">
      <c r="A92" s="3" t="inlineStr">
        <is>
          <t>TEST 3. Which assumption matters most? Tornado (base case, one at a time)</t>
        </is>
      </c>
    </row>
    <row r="93">
      <c r="A93" s="55" t="inlineStr">
        <is>
          <t>Driver</t>
        </is>
      </c>
      <c r="B93" s="55" t="inlineStr">
        <is>
          <t>Low input</t>
        </is>
      </c>
      <c r="C93" s="55" t="inlineStr">
        <is>
          <t>High input</t>
        </is>
      </c>
      <c r="D93" s="55" t="inlineStr">
        <is>
          <t>NPV at low</t>
        </is>
      </c>
      <c r="E93" s="55" t="inlineStr">
        <is>
          <t>NPV at high</t>
        </is>
      </c>
      <c r="F93" s="55" t="inlineStr">
        <is>
          <t>Swing</t>
        </is>
      </c>
    </row>
    <row r="94">
      <c r="A94" s="71" t="inlineStr">
        <is>
          <t>Investment (Rp B)</t>
        </is>
      </c>
      <c r="B94" s="72" t="n">
        <v>110</v>
      </c>
      <c r="C94" s="72" t="n">
        <v>60</v>
      </c>
      <c r="D94" s="67" t="n">
        <v>-1.497910926203485</v>
      </c>
      <c r="E94" s="67" t="n">
        <v>46.02200512523363</v>
      </c>
      <c r="F94" s="67" t="n">
        <v>47.51991605143711</v>
      </c>
    </row>
    <row r="95">
      <c r="A95" s="71" t="inlineStr">
        <is>
          <t>Adoption achieved</t>
        </is>
      </c>
      <c r="B95" s="58" t="n">
        <v>0.6</v>
      </c>
      <c r="C95" s="72" t="n">
        <v>1</v>
      </c>
      <c r="D95" s="67" t="n">
        <v>-17.99510981953292</v>
      </c>
      <c r="E95" s="67" t="n">
        <v>27.01403870465879</v>
      </c>
      <c r="F95" s="67" t="n">
        <v>45.00914852419172</v>
      </c>
    </row>
    <row r="96">
      <c r="A96" s="71" t="inlineStr">
        <is>
          <t>Scrap reduction</t>
        </is>
      </c>
      <c r="B96" s="58" t="n">
        <v>0.2</v>
      </c>
      <c r="C96" s="58" t="n">
        <v>0.5</v>
      </c>
      <c r="D96" s="67" t="n">
        <v>7.376539348554191</v>
      </c>
      <c r="E96" s="67" t="n">
        <v>46.65153806076337</v>
      </c>
      <c r="F96" s="67" t="n">
        <v>39.27499871220918</v>
      </c>
    </row>
    <row r="97">
      <c r="A97" s="71" t="inlineStr">
        <is>
          <t>Variant projects / yr</t>
        </is>
      </c>
      <c r="B97" s="72" t="n">
        <v>2</v>
      </c>
      <c r="C97" s="72" t="n">
        <v>5</v>
      </c>
      <c r="D97" s="67" t="n">
        <v>18.83174730628188</v>
      </c>
      <c r="E97" s="67" t="n">
        <v>43.37862150141261</v>
      </c>
      <c r="F97" s="67" t="n">
        <v>24.54687419513073</v>
      </c>
    </row>
    <row r="98">
      <c r="A98" s="71" t="inlineStr">
        <is>
          <t>Cost per variant project</t>
        </is>
      </c>
      <c r="B98" s="72" t="n">
        <v>5</v>
      </c>
      <c r="C98" s="72" t="n">
        <v>15</v>
      </c>
      <c r="D98" s="67" t="n">
        <v>14.74060160709343</v>
      </c>
      <c r="E98" s="67" t="n">
        <v>39.28747580222415</v>
      </c>
      <c r="F98" s="67" t="n">
        <v>24.54687419513073</v>
      </c>
    </row>
    <row r="99">
      <c r="A99" s="71" t="inlineStr">
        <is>
          <t>Variant cost reduction</t>
        </is>
      </c>
      <c r="B99" s="58" t="n">
        <v>0.2</v>
      </c>
      <c r="C99" s="58" t="n">
        <v>0.5</v>
      </c>
      <c r="D99" s="67" t="n">
        <v>16.49394976388848</v>
      </c>
      <c r="E99" s="67" t="n">
        <v>37.5341276454291</v>
      </c>
      <c r="F99" s="67" t="n">
        <v>21.04017788154063</v>
      </c>
    </row>
    <row r="100">
      <c r="A100" s="71" t="inlineStr">
        <is>
          <t>Operator NVA eliminated</t>
        </is>
      </c>
      <c r="B100" s="58" t="n">
        <v>0.15</v>
      </c>
      <c r="C100" s="58" t="n">
        <v>0.45</v>
      </c>
      <c r="D100" s="67" t="n">
        <v>18.37353898797276</v>
      </c>
      <c r="E100" s="67" t="n">
        <v>35.6545384213448</v>
      </c>
      <c r="F100" s="67" t="n">
        <v>17.28099943337204</v>
      </c>
    </row>
    <row r="101">
      <c r="A101" s="71" t="inlineStr">
        <is>
          <t>Maintenance reduction</t>
        </is>
      </c>
      <c r="B101" s="58" t="n">
        <v>0.05</v>
      </c>
      <c r="C101" s="58" t="n">
        <v>0.15</v>
      </c>
      <c r="D101" s="67" t="n">
        <v>18.50445565034678</v>
      </c>
      <c r="E101" s="67" t="n">
        <v>35.52362175897076</v>
      </c>
      <c r="F101" s="67" t="n">
        <v>17.01916610862397</v>
      </c>
    </row>
    <row r="102">
      <c r="A102" s="71" t="inlineStr">
        <is>
          <t>Energy reduction</t>
        </is>
      </c>
      <c r="B102" s="58" t="n">
        <v>0.02</v>
      </c>
      <c r="C102" s="58" t="n">
        <v>0.08</v>
      </c>
      <c r="D102" s="67" t="n">
        <v>22.30103885919367</v>
      </c>
      <c r="E102" s="67" t="n">
        <v>31.72703855012389</v>
      </c>
      <c r="F102" s="67" t="n">
        <v>9.425999690930212</v>
      </c>
    </row>
    <row r="103">
      <c r="A103" s="71" t="inlineStr">
        <is>
          <t>Running cost %</t>
        </is>
      </c>
      <c r="B103" s="58" t="n">
        <v>0.12</v>
      </c>
      <c r="C103" s="58" t="n">
        <v>0.08</v>
      </c>
      <c r="D103" s="67" t="n">
        <v>23.77962476124955</v>
      </c>
      <c r="E103" s="67" t="n">
        <v>30.24845264806801</v>
      </c>
      <c r="F103" s="67" t="n">
        <v>6.468827886818463</v>
      </c>
    </row>
    <row r="104">
      <c r="A104" s="3" t="inlineStr">
        <is>
          <t>Use the top 2-3 drivers as the assumptions you defend hardest in Q&amp;A, and as the KPIs you track first in the pilot.</t>
        </is>
      </c>
    </row>
  </sheetData>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H104"/>
  <sheetViews>
    <sheetView workbookViewId="0">
      <selection activeCell="A1" sqref="A1"/>
    </sheetView>
  </sheetViews>
  <sheetFormatPr baseColWidth="8" defaultRowHeight="15"/>
  <cols>
    <col width="62" customWidth="1" min="1" max="1"/>
    <col width="18" customWidth="1" min="2" max="2"/>
    <col width="18" customWidth="1" min="3" max="3"/>
    <col width="18" customWidth="1" min="4" max="4"/>
    <col width="20" customWidth="1" min="5" max="5"/>
    <col width="14" customWidth="1" min="6" max="6"/>
    <col width="14" customWidth="1" min="7" max="7"/>
    <col width="16" customWidth="1" min="8" max="8"/>
  </cols>
  <sheetData>
    <row r="1">
      <c r="A1" s="1" t="inlineStr">
        <is>
          <t>Idea tests: simulation results (values produced by run_tests.py, not formulas)</t>
        </is>
      </c>
    </row>
    <row r="2">
      <c r="A2" s="54" t="inlineStr">
        <is>
          <t>Re-run run_tests.py after changing assumptions. Process parameters below are illustrative assumptions, not TMMIN data: present them as a mechanism test, and show the sensitivity.</t>
        </is>
      </c>
    </row>
    <row r="4">
      <c r="A4" s="3" t="inlineStr">
        <is>
          <t>TEST 1. Does closing the quality loop beat adding technology alone? (sealer drift -&gt; inspection -&gt; feedback, 1 year, 175,000 units, 300 runs)</t>
        </is>
      </c>
    </row>
    <row r="5">
      <c r="A5" s="55" t="inlineStr">
        <is>
          <t>Scenario</t>
        </is>
      </c>
      <c r="B5" s="55" t="inlineStr">
        <is>
          <t>Defective units / yr</t>
        </is>
      </c>
      <c r="C5" s="55" t="inlineStr">
        <is>
          <t>Scrapped units / yr</t>
        </is>
      </c>
      <c r="D5" s="55" t="inlineStr">
        <is>
          <t>Escaped defects / yr</t>
        </is>
      </c>
      <c r="E5" s="55" t="inlineStr">
        <is>
          <t>Units built while drifting</t>
        </is>
      </c>
      <c r="F5" s="55" t="inlineStr">
        <is>
          <t>Scrap vs today</t>
        </is>
      </c>
      <c r="G5" s="55" t="inlineStr">
        <is>
          <t>Escapes vs today</t>
        </is>
      </c>
      <c r="H5" s="55" t="inlineStr">
        <is>
          <t>Scrap P5-P95</t>
        </is>
      </c>
    </row>
    <row r="6">
      <c r="A6" s="56" t="inlineStr">
        <is>
          <t>1. Today: visual at final inspection, manual feedback</t>
        </is>
      </c>
      <c r="B6" s="57" t="n">
        <v>4266.68</v>
      </c>
      <c r="C6" s="57" t="n">
        <v>1088.524</v>
      </c>
      <c r="D6" s="57" t="n">
        <v>638.2666666666667</v>
      </c>
      <c r="E6" s="57" t="n">
        <v>15796.09333333333</v>
      </c>
      <c r="F6" s="58" t="n">
        <v>0</v>
      </c>
      <c r="G6" s="58" t="n">
        <v>0</v>
      </c>
      <c r="H6" s="57" t="inlineStr">
        <is>
          <t>835 - 1,365</t>
        </is>
      </c>
    </row>
    <row r="7">
      <c r="A7" s="56" t="inlineStr">
        <is>
          <t>2. Better camera at end-of-line only (tech, no loop)</t>
        </is>
      </c>
      <c r="B7" s="57" t="n">
        <v>4265.323333333334</v>
      </c>
      <c r="C7" s="57" t="n">
        <v>1215.776</v>
      </c>
      <c r="D7" s="57" t="n">
        <v>212.7366666666667</v>
      </c>
      <c r="E7" s="57" t="n">
        <v>15793.25666666667</v>
      </c>
      <c r="F7" s="58" t="n">
        <v>0.1169032561523677</v>
      </c>
      <c r="G7" s="58" t="n">
        <v>-0.6666962607060789</v>
      </c>
      <c r="H7" s="57" t="inlineStr">
        <is>
          <t>910 - 1,492</t>
        </is>
      </c>
    </row>
    <row r="8">
      <c r="A8" s="56" t="inlineStr">
        <is>
          <t>3. Closed loop at sealer, 31% of alerts dismissed (as today)</t>
        </is>
      </c>
      <c r="B8" s="57" t="n">
        <v>1652.95</v>
      </c>
      <c r="C8" s="57" t="n">
        <v>362.1536666666667</v>
      </c>
      <c r="D8" s="57" t="n">
        <v>203.26</v>
      </c>
      <c r="E8" s="57" t="n">
        <v>5247.72</v>
      </c>
      <c r="F8" s="58" t="n">
        <v>-0.6672984089770491</v>
      </c>
      <c r="G8" s="58" t="n">
        <v>-0.6815437643618132</v>
      </c>
      <c r="H8" s="57" t="inlineStr">
        <is>
          <t>216 - 543</t>
        </is>
      </c>
    </row>
    <row r="9">
      <c r="A9" s="59" t="inlineStr">
        <is>
          <t>4. Closed loop with people-centred design (10% dismissed)</t>
        </is>
      </c>
      <c r="B9" s="60" t="n">
        <v>908.3233333333334</v>
      </c>
      <c r="C9" s="60" t="n">
        <v>166.8633333333333</v>
      </c>
      <c r="D9" s="60" t="n">
        <v>88.00666666666666</v>
      </c>
      <c r="E9" s="60" t="n">
        <v>2257.006666666667</v>
      </c>
      <c r="F9" s="61" t="n">
        <v>-0.8467067943992661</v>
      </c>
      <c r="G9" s="61" t="n">
        <v>-0.862116147900564</v>
      </c>
      <c r="H9" s="60" t="inlineStr">
        <is>
          <t>83 - 270</t>
        </is>
      </c>
    </row>
    <row r="11">
      <c r="A11" s="3" t="inlineStr">
        <is>
          <t>What this shows</t>
        </is>
      </c>
    </row>
    <row r="12" ht="28" customHeight="1">
      <c r="A12" s="62" t="inlineStr">
        <is>
          <t>- A better camera at end-of-line alone changes scrap by +12% while escapes fall 67%: it catches more bad units, but too late, so escapes turn into scrap. It does not prevent defects.</t>
        </is>
      </c>
    </row>
    <row r="13" ht="28" customHeight="1">
      <c r="A13" s="62" t="inlineStr">
        <is>
          <t>- Closing the loop right after the sealer cuts scrap 85% and escapes 86%, because a drift is stopped within a few units instead of hundreds.</t>
        </is>
      </c>
    </row>
    <row r="14" ht="28" customHeight="1">
      <c r="A14" s="62" t="inlineStr">
        <is>
          <t>- If operators dismiss alerts in 31% of drift episodes (today's override rate), scrap reduction falls to 67%. Trust, training and alert design are part of the value, not an add-on.</t>
        </is>
      </c>
    </row>
    <row r="15" ht="28" customHeight="1">
      <c r="A15" s="62" t="inlineStr">
        <is>
          <t>- Plant-wide: if the pilot scope causes 40% of plant scrap (team assumption), the plant-wide scrap cut is about 34%. Compare with the 20% / 35% / 50% lever in Assumptions.</t>
        </is>
      </c>
    </row>
    <row r="16" ht="28" customHeight="1">
      <c r="A16" s="62" t="inlineStr">
        <is>
          <t>- Deck message: value comes from redesigning the system (where the check sits, how fast the signal travels, who acts on it), not from buying the device. That is exactly the case ask.</t>
        </is>
      </c>
    </row>
    <row r="18">
      <c r="A18" s="3" t="inlineStr">
        <is>
          <t>Process assumptions used (illustrative, change and re-run)</t>
        </is>
      </c>
    </row>
    <row r="19">
      <c r="A19" s="54" t="inlineStr">
        <is>
          <t>Defect probability per unit, stable sealer</t>
        </is>
      </c>
      <c r="B19" s="20" t="n">
        <v>0.002</v>
      </c>
    </row>
    <row r="20">
      <c r="A20" s="54" t="inlineStr">
        <is>
          <t>Average units between drift events</t>
        </is>
      </c>
      <c r="B20" s="63" t="n">
        <v>5000</v>
      </c>
    </row>
    <row r="21">
      <c r="A21" s="54" t="inlineStr">
        <is>
          <t>Defect probability per unit while drifting</t>
        </is>
      </c>
      <c r="B21" s="20" t="n">
        <v>0.25</v>
      </c>
    </row>
    <row r="22">
      <c r="A22" s="54" t="inlineStr">
        <is>
          <t>Manual visual detection rate at final inspection</t>
        </is>
      </c>
      <c r="B22" s="20" t="n">
        <v>0.85</v>
      </c>
    </row>
    <row r="23">
      <c r="A23" s="54" t="inlineStr">
        <is>
          <t>Share of sealer defect modes the in-line AI camera can see</t>
        </is>
      </c>
      <c r="B23" s="20" t="n">
        <v>0.7</v>
      </c>
    </row>
    <row r="24">
      <c r="A24" s="54" t="inlineStr">
        <is>
          <t>Units between sealer and today's final inspection</t>
        </is>
      </c>
      <c r="B24" s="63" t="n">
        <v>300</v>
      </c>
    </row>
    <row r="25">
      <c r="A25" s="54" t="inlineStr">
        <is>
          <t>Units built before manual feedback reaches the sealer</t>
        </is>
      </c>
      <c r="B25" s="63" t="n">
        <v>150</v>
      </c>
    </row>
    <row r="26">
      <c r="A26" s="54" t="inlineStr">
        <is>
          <t>Share of late-found defects scrapped</t>
        </is>
      </c>
      <c r="B26" s="20" t="n">
        <v>0.3</v>
      </c>
    </row>
    <row r="27">
      <c r="A27" s="54" t="inlineStr">
        <is>
          <t>Share of early-found defects scrapped</t>
        </is>
      </c>
      <c r="B27" s="20" t="n">
        <v>0.05</v>
      </c>
    </row>
    <row r="28">
      <c r="A28" s="54" t="inlineStr">
        <is>
          <t>Share of plant scrap from the pilot scope (team assumption)</t>
        </is>
      </c>
      <c r="B28" s="20" t="n">
        <v>0.4</v>
      </c>
    </row>
    <row r="29" ht="28" customHeight="1">
      <c r="A29" s="62" t="inlineStr">
        <is>
          <t>In-line check: 5 units after sealer, automatic feedback within 10 units, 90% detection on visible defect modes (case: AI camera in validation to Oct 2026).</t>
        </is>
      </c>
    </row>
    <row r="31">
      <c r="A31" s="3" t="inlineStr">
        <is>
          <t>Robustness: closed-loop (scenario 4) scrap reduction vs today when each assumption changes</t>
        </is>
      </c>
    </row>
    <row r="32">
      <c r="A32" s="55" t="inlineStr">
        <is>
          <t>Assumption</t>
        </is>
      </c>
      <c r="B32" s="55" t="inlineStr">
        <is>
          <t>Low</t>
        </is>
      </c>
      <c r="C32" s="55" t="inlineStr">
        <is>
          <t>Reduction</t>
        </is>
      </c>
      <c r="D32" s="55" t="inlineStr">
        <is>
          <t>Base</t>
        </is>
      </c>
      <c r="E32" s="55" t="inlineStr">
        <is>
          <t>Reduction</t>
        </is>
      </c>
      <c r="F32" s="55" t="inlineStr">
        <is>
          <t>High</t>
        </is>
      </c>
      <c r="G32" s="55" t="inlineStr">
        <is>
          <t>Reduction</t>
        </is>
      </c>
    </row>
    <row r="33">
      <c r="A33" s="3" t="inlineStr">
        <is>
          <t>AI camera coverage of defect modes</t>
        </is>
      </c>
      <c r="B33" s="20" t="n">
        <v>0.5</v>
      </c>
      <c r="C33" s="64" t="n">
        <v>0.8247043005741556</v>
      </c>
      <c r="D33" s="20" t="n">
        <v>0.7</v>
      </c>
      <c r="E33" s="64" t="n">
        <v>0.8468422609923756</v>
      </c>
      <c r="F33" s="20" t="n">
        <v>0.9</v>
      </c>
      <c r="G33" s="64" t="n">
        <v>0.8667088181512177</v>
      </c>
    </row>
    <row r="34">
      <c r="A34" s="3" t="inlineStr">
        <is>
          <t>Drift defect rate</t>
        </is>
      </c>
      <c r="B34" s="20" t="n">
        <v>0.1</v>
      </c>
      <c r="C34" s="64" t="n">
        <v>0.8026017993273447</v>
      </c>
      <c r="D34" s="20" t="n">
        <v>0.25</v>
      </c>
      <c r="E34" s="64" t="n">
        <v>0.8479906256107048</v>
      </c>
      <c r="F34" s="20" t="n">
        <v>0.4</v>
      </c>
      <c r="G34" s="64" t="n">
        <v>0.8649243431242232</v>
      </c>
    </row>
    <row r="35">
      <c r="A35" s="3" t="inlineStr">
        <is>
          <t>Units between drift events</t>
        </is>
      </c>
      <c r="B35" s="63" t="n">
        <v>2500</v>
      </c>
      <c r="C35" s="64" t="n">
        <v>0.8634074536698797</v>
      </c>
      <c r="D35" s="63" t="n">
        <v>5000</v>
      </c>
      <c r="E35" s="64" t="n">
        <v>0.8582510378017658</v>
      </c>
      <c r="F35" s="63" t="n">
        <v>10000</v>
      </c>
      <c r="G35" s="64" t="n">
        <v>0.8336816505910225</v>
      </c>
    </row>
    <row r="36">
      <c r="A36" s="3" t="inlineStr">
        <is>
          <t>Late-found scrap share</t>
        </is>
      </c>
      <c r="B36" s="20" t="n">
        <v>0.15</v>
      </c>
      <c r="C36" s="64" t="n">
        <v>0.8314626883200975</v>
      </c>
      <c r="D36" s="20" t="n">
        <v>0.3</v>
      </c>
      <c r="E36" s="64" t="n">
        <v>0.8538779573335564</v>
      </c>
      <c r="F36" s="20" t="n">
        <v>0.5</v>
      </c>
      <c r="G36" s="64" t="n">
        <v>0.8501771115300518</v>
      </c>
    </row>
    <row r="37">
      <c r="A37" s="3" t="inlineStr">
        <is>
          <t>Units from sealer to today's inspection</t>
        </is>
      </c>
      <c r="B37" s="63" t="n">
        <v>100</v>
      </c>
      <c r="C37" s="64" t="n">
        <v>0.8111230466252334</v>
      </c>
      <c r="D37" s="63" t="n">
        <v>300</v>
      </c>
      <c r="E37" s="64" t="n">
        <v>0.8492533988756621</v>
      </c>
      <c r="F37" s="63" t="n">
        <v>600</v>
      </c>
      <c r="G37" s="64" t="n">
        <v>0.8737976071910339</v>
      </c>
    </row>
    <row r="38">
      <c r="A38" s="3" t="inlineStr">
        <is>
          <t>Lowest scrap reduction across all tested cases: 80%. The mechanism holds even with pessimistic process assumptions.</t>
        </is>
      </c>
    </row>
    <row r="40">
      <c r="A40" s="3" t="inlineStr">
        <is>
          <t>People test: how much value is lost when operators dismiss alerts?</t>
        </is>
      </c>
    </row>
    <row r="41">
      <c r="A41" s="55" t="inlineStr">
        <is>
          <t>Share of drift episodes where alerts are dismissed</t>
        </is>
      </c>
      <c r="B41" s="55" t="inlineStr">
        <is>
          <t>Scrap reduction vs today</t>
        </is>
      </c>
    </row>
    <row r="42">
      <c r="A42" s="20" t="n">
        <v>0</v>
      </c>
      <c r="B42" s="64" t="n">
        <v>0.9392930243154951</v>
      </c>
    </row>
    <row r="43">
      <c r="A43" s="20" t="n">
        <v>0.1</v>
      </c>
      <c r="B43" s="64" t="n">
        <v>0.8445760803926541</v>
      </c>
    </row>
    <row r="44">
      <c r="A44" s="20" t="n">
        <v>0.2</v>
      </c>
      <c r="B44" s="64" t="n">
        <v>0.7497194978398884</v>
      </c>
    </row>
    <row r="45">
      <c r="A45" s="20" t="n">
        <v>0.31</v>
      </c>
      <c r="B45" s="64" t="n">
        <v>0.6431060163426193</v>
      </c>
    </row>
    <row r="46">
      <c r="A46" s="20" t="n">
        <v>0.5</v>
      </c>
      <c r="B46" s="64" t="n">
        <v>0.4964125733562145</v>
      </c>
    </row>
    <row r="47" ht="28" customHeight="1">
      <c r="A47" s="62" t="inlineStr">
        <is>
          <t>Exhibit 6B says 31% of operators frequently override alerts today. This chart is the quantified case for the people part of the idea.</t>
        </is>
      </c>
    </row>
    <row r="49">
      <c r="A49" s="3" t="inlineStr">
        <is>
          <t>TEST 2. Is the business case robust? Financial Monte Carlo (10,000 runs, mirrors the Model tab incl. pilot-light phasing)</t>
        </is>
      </c>
    </row>
    <row r="50">
      <c r="A50" s="55" t="inlineStr">
        <is>
          <t>Metric</t>
        </is>
      </c>
      <c r="B50" s="55" t="inlineStr">
        <is>
          <t>Value</t>
        </is>
      </c>
      <c r="C50" s="55" t="inlineStr">
        <is>
          <t>Note</t>
        </is>
      </c>
    </row>
    <row r="51">
      <c r="A51" s="3" t="inlineStr">
        <is>
          <t>Deterministic base NPV (check vs Model tab)</t>
        </is>
      </c>
      <c r="B51" s="65" t="n">
        <v>27.01403870465879</v>
      </c>
      <c r="C51" s="54" t="inlineStr">
        <is>
          <t>Should match Dashboard base NPV</t>
        </is>
      </c>
    </row>
    <row r="52">
      <c r="A52" s="3" t="inlineStr">
        <is>
          <t>Mean NPV</t>
        </is>
      </c>
      <c r="B52" s="65" t="n">
        <v>11.82360761131173</v>
      </c>
      <c r="C52" s="54" t="inlineStr">
        <is>
          <t>Rp billion</t>
        </is>
      </c>
    </row>
    <row r="53">
      <c r="A53" s="3" t="inlineStr">
        <is>
          <t>P5 NPV (bad case)</t>
        </is>
      </c>
      <c r="B53" s="65" t="n">
        <v>-19.41291040060244</v>
      </c>
      <c r="C53" s="54" t="inlineStr">
        <is>
          <t>1-in-20 downside</t>
        </is>
      </c>
    </row>
    <row r="54">
      <c r="A54" s="3" t="inlineStr">
        <is>
          <t>Median NPV</t>
        </is>
      </c>
      <c r="B54" s="65" t="n">
        <v>11.7084469092985</v>
      </c>
      <c r="C54" s="54" t="inlineStr"/>
    </row>
    <row r="55">
      <c r="A55" s="3" t="inlineStr">
        <is>
          <t>P95 NPV (good case)</t>
        </is>
      </c>
      <c r="B55" s="65" t="n">
        <v>43.10332192077205</v>
      </c>
      <c r="C55" s="54" t="inlineStr"/>
    </row>
    <row r="56">
      <c r="A56" s="3" t="inlineStr">
        <is>
          <t>Probability NPV &gt; 0</t>
        </is>
      </c>
      <c r="B56" s="64" t="n">
        <v>0.7311</v>
      </c>
      <c r="C56" s="54" t="inlineStr">
        <is>
          <t>Headline for the financial slide</t>
        </is>
      </c>
    </row>
    <row r="57">
      <c r="A57" s="3" t="inlineStr">
        <is>
          <t>Median full run-rate savings (Rp B/yr)</t>
        </is>
      </c>
      <c r="B57" s="65" t="n">
        <v>49.0844126012166</v>
      </c>
      <c r="C57" s="54" t="inlineStr"/>
    </row>
    <row r="58">
      <c r="A58" s="3" t="inlineStr">
        <is>
          <t>Median run-rate as % of conversion cost</t>
        </is>
      </c>
      <c r="B58" s="64" t="n">
        <v>0.08765073678788678</v>
      </c>
      <c r="C58" s="54" t="inlineStr">
        <is>
          <t>vs 16% gap to benchmark</t>
        </is>
      </c>
    </row>
    <row r="60">
      <c r="A60" s="3" t="inlineStr">
        <is>
          <t>TEST 2b. How should the roadmap spend the money? Same 10,000 runs, five strategies (gate = stop scaling if 2027 pilot adoption &lt; 80%; happens in 25% of runs)</t>
        </is>
      </c>
    </row>
    <row r="61">
      <c r="A61" s="55" t="inlineStr">
        <is>
          <t>Strategy</t>
        </is>
      </c>
      <c r="B61" s="55" t="inlineStr">
        <is>
          <t>Mean NPV</t>
        </is>
      </c>
      <c r="C61" s="55" t="inlineStr">
        <is>
          <t>P5 NPV</t>
        </is>
      </c>
      <c r="D61" s="55" t="inlineStr">
        <is>
          <t>Median NPV</t>
        </is>
      </c>
      <c r="E61" s="55" t="inlineStr">
        <is>
          <t>P95 NPV</t>
        </is>
      </c>
      <c r="F61" s="55" t="inlineStr">
        <is>
          <t>P(NPV &gt; 0)</t>
        </is>
      </c>
    </row>
    <row r="62">
      <c r="A62" s="66" t="inlineStr">
        <is>
          <t>A. Front-loaded phasing, no gate</t>
        </is>
      </c>
      <c r="B62" s="67" t="n">
        <v>-0.191332294676973</v>
      </c>
      <c r="C62" s="67" t="n">
        <v>-32.83255089311962</v>
      </c>
      <c r="D62" s="67" t="n">
        <v>-0.3737217276611755</v>
      </c>
      <c r="E62" s="67" t="n">
        <v>32.5044161216826</v>
      </c>
      <c r="F62" s="58" t="n">
        <v>0.4925</v>
      </c>
    </row>
    <row r="63">
      <c r="A63" s="66" t="inlineStr">
        <is>
          <t>B. Front-loaded phasing + gate (65% already spent)</t>
        </is>
      </c>
      <c r="B63" s="67" t="n">
        <v>-3.79967892697686</v>
      </c>
      <c r="C63" s="67" t="n">
        <v>-39.74590657971964</v>
      </c>
      <c r="D63" s="67" t="n">
        <v>-2.962350007986172</v>
      </c>
      <c r="E63" s="67" t="n">
        <v>32.40194504032392</v>
      </c>
      <c r="F63" s="58" t="n">
        <v>0.4518</v>
      </c>
    </row>
    <row r="64">
      <c r="A64" s="66" t="inlineStr">
        <is>
          <t>C. Pilot-light phasing, no gate (as in Model tab)</t>
        </is>
      </c>
      <c r="B64" s="67" t="n">
        <v>11.82360761131173</v>
      </c>
      <c r="C64" s="67" t="n">
        <v>-19.41291040060244</v>
      </c>
      <c r="D64" s="67" t="n">
        <v>11.7084469092985</v>
      </c>
      <c r="E64" s="67" t="n">
        <v>43.10332192077205</v>
      </c>
      <c r="F64" s="58" t="n">
        <v>0.7311</v>
      </c>
    </row>
    <row r="65">
      <c r="A65" s="68" t="inlineStr">
        <is>
          <t>D. Pilot-light phasing + gate</t>
        </is>
      </c>
      <c r="B65" s="69" t="n">
        <v>15.05090030021514</v>
      </c>
      <c r="C65" s="69" t="n">
        <v>-8.411626796801812</v>
      </c>
      <c r="D65" s="69" t="n">
        <v>13.32040175184729</v>
      </c>
      <c r="E65" s="69" t="n">
        <v>43.06772269056702</v>
      </c>
      <c r="F65" s="61" t="n">
        <v>0.8595</v>
      </c>
    </row>
    <row r="66">
      <c r="A66" s="66" t="inlineStr">
        <is>
          <t>E. D + remaining equipment life valued at book</t>
        </is>
      </c>
      <c r="B66" s="67" t="n">
        <v>36.01053481960803</v>
      </c>
      <c r="C66" s="67" t="n">
        <v>6.476777490438207</v>
      </c>
      <c r="D66" s="67" t="n">
        <v>36.96085240343595</v>
      </c>
      <c r="E66" s="67" t="n">
        <v>67.48368978517901</v>
      </c>
      <c r="F66" s="58" t="n">
        <v>0.9938</v>
      </c>
    </row>
    <row r="67">
      <c r="A67" s="66" t="inlineStr">
        <is>
          <t>F. D but savings ramp one year slower (stress test)</t>
        </is>
      </c>
      <c r="B67" s="67" t="n">
        <v>-7.534233621168762</v>
      </c>
      <c r="C67" s="67" t="n">
        <v>-31.89940806088983</v>
      </c>
      <c r="D67" s="67" t="n">
        <v>-5.542507323532465</v>
      </c>
      <c r="E67" s="67" t="n">
        <v>12.32550108470081</v>
      </c>
      <c r="F67" s="58" t="n">
        <v>0.3242</v>
      </c>
    </row>
    <row r="68">
      <c r="A68" s="66" t="inlineStr">
        <is>
          <t>G. F + remaining equipment life valued at book</t>
        </is>
      </c>
      <c r="B68" s="67" t="n">
        <v>13.42540089822414</v>
      </c>
      <c r="C68" s="67" t="n">
        <v>-3.778779125254701</v>
      </c>
      <c r="D68" s="67" t="n">
        <v>11.92716410770895</v>
      </c>
      <c r="E68" s="67" t="n">
        <v>35.1241416528562</v>
      </c>
      <c r="F68" s="58" t="n">
        <v>0.879</v>
      </c>
    </row>
    <row r="69" ht="30" customHeight="1">
      <c r="A69" s="62" t="inlineStr">
        <is>
          <t>Pilot-light phasing: 10% / 15% / 40% / 25% / 10% of capex in 2026-2030. Ramp-up kept the same to isolate the effect of phasing; if scaling later also delays savings, the gain is smaller.</t>
        </is>
      </c>
    </row>
    <row r="70" ht="58" customHeight="1">
      <c r="A70" s="9" t="inlineStr">
        <is>
          <t>Reading: a gate only protects value if little money is spent before it. Gate after heavy spending (B) destroys value; pilot-light + gate (D) is the design to defend in SQ3. Valuing equipment life beyond 2030 (E) is legitimate but state it openly. Stress test (F): if savings arrive a year late, P(NPV&gt;0) falls to 32% (88% if remaining equipment life is valued, G). Speed of the pilot is the make-or-break factor: quick wins in 2026-27 belong in the roadmap.</t>
        </is>
      </c>
    </row>
    <row r="71" ht="45" customHeight="1">
      <c r="A71" s="62" t="inlineStr">
        <is>
          <t>Ranges used (triangular low / mode / high): scrap 20/35/50%, maintenance 5/10/15%, NVA 15/30/45%, energy 2/5/8%, variant cost 20/35/50%, investment 60/80/110, running 8/9/12%, training 2/2.5/3, variant projects 2/3/5, cost per project 5/10/15, cash realization 30/50/70%, adoption 60/100/100%, labor share 35/40/45%.</t>
        </is>
      </c>
    </row>
    <row r="73">
      <c r="A73" s="3" t="inlineStr">
        <is>
          <t>NPV distribution (histogram)</t>
        </is>
      </c>
    </row>
    <row r="74">
      <c r="A74" s="55" t="inlineStr">
        <is>
          <t>NPV bin from (Rp B)</t>
        </is>
      </c>
      <c r="B74" s="55" t="inlineStr">
        <is>
          <t>Runs</t>
        </is>
      </c>
    </row>
    <row r="75">
      <c r="A75" s="65" t="n">
        <v>-51.6</v>
      </c>
      <c r="B75" s="70" t="n">
        <v>11</v>
      </c>
    </row>
    <row r="76">
      <c r="A76" s="65" t="n">
        <v>-41.6</v>
      </c>
      <c r="B76" s="70" t="n">
        <v>73</v>
      </c>
    </row>
    <row r="77">
      <c r="A77" s="65" t="n">
        <v>-31.5</v>
      </c>
      <c r="B77" s="70" t="n">
        <v>294</v>
      </c>
    </row>
    <row r="78">
      <c r="A78" s="65" t="n">
        <v>-21.5</v>
      </c>
      <c r="B78" s="70" t="n">
        <v>700</v>
      </c>
    </row>
    <row r="79">
      <c r="A79" s="65" t="n">
        <v>-11.5</v>
      </c>
      <c r="B79" s="70" t="n">
        <v>1367</v>
      </c>
    </row>
    <row r="80">
      <c r="A80" s="65" t="n">
        <v>-1.4</v>
      </c>
      <c r="B80" s="70" t="n">
        <v>1920</v>
      </c>
    </row>
    <row r="81">
      <c r="A81" s="65" t="n">
        <v>8.6</v>
      </c>
      <c r="B81" s="70" t="n">
        <v>2028</v>
      </c>
    </row>
    <row r="82">
      <c r="A82" s="65" t="n">
        <v>18.6</v>
      </c>
      <c r="B82" s="70" t="n">
        <v>1753</v>
      </c>
    </row>
    <row r="83">
      <c r="A83" s="65" t="n">
        <v>28.6</v>
      </c>
      <c r="B83" s="70" t="n">
        <v>1056</v>
      </c>
    </row>
    <row r="84">
      <c r="A84" s="65" t="n">
        <v>38.7</v>
      </c>
      <c r="B84" s="70" t="n">
        <v>560</v>
      </c>
    </row>
    <row r="85">
      <c r="A85" s="65" t="n">
        <v>48.7</v>
      </c>
      <c r="B85" s="70" t="n">
        <v>182</v>
      </c>
    </row>
    <row r="86">
      <c r="A86" s="65" t="n">
        <v>58.7</v>
      </c>
      <c r="B86" s="70" t="n">
        <v>43</v>
      </c>
    </row>
    <row r="87">
      <c r="A87" s="65" t="n">
        <v>68.8</v>
      </c>
      <c r="B87" s="70" t="n">
        <v>10</v>
      </c>
    </row>
    <row r="88">
      <c r="A88" s="65" t="n">
        <v>78.8</v>
      </c>
      <c r="B88" s="70" t="n">
        <v>2</v>
      </c>
    </row>
    <row r="89">
      <c r="A89" s="65" t="n">
        <v>88.8</v>
      </c>
      <c r="B89" s="70" t="n">
        <v>0</v>
      </c>
    </row>
    <row r="90">
      <c r="A90" s="65" t="n">
        <v>98.90000000000001</v>
      </c>
      <c r="B90" s="70" t="n">
        <v>1</v>
      </c>
    </row>
    <row r="92">
      <c r="A92" s="3" t="inlineStr">
        <is>
          <t>TEST 3. Which assumption matters most? Tornado (base case, one at a time)</t>
        </is>
      </c>
    </row>
    <row r="93">
      <c r="A93" s="55" t="inlineStr">
        <is>
          <t>Driver</t>
        </is>
      </c>
      <c r="B93" s="55" t="inlineStr">
        <is>
          <t>Low input</t>
        </is>
      </c>
      <c r="C93" s="55" t="inlineStr">
        <is>
          <t>High input</t>
        </is>
      </c>
      <c r="D93" s="55" t="inlineStr">
        <is>
          <t>NPV at low</t>
        </is>
      </c>
      <c r="E93" s="55" t="inlineStr">
        <is>
          <t>NPV at high</t>
        </is>
      </c>
      <c r="F93" s="55" t="inlineStr">
        <is>
          <t>Swing</t>
        </is>
      </c>
    </row>
    <row r="94">
      <c r="A94" s="71" t="inlineStr">
        <is>
          <t>Investment (Rp B)</t>
        </is>
      </c>
      <c r="B94" s="72" t="n">
        <v>110</v>
      </c>
      <c r="C94" s="72" t="n">
        <v>60</v>
      </c>
      <c r="D94" s="67" t="n">
        <v>-1.497910926203485</v>
      </c>
      <c r="E94" s="67" t="n">
        <v>46.02200512523363</v>
      </c>
      <c r="F94" s="67" t="n">
        <v>47.51991605143711</v>
      </c>
    </row>
    <row r="95">
      <c r="A95" s="71" t="inlineStr">
        <is>
          <t>Adoption achieved</t>
        </is>
      </c>
      <c r="B95" s="58" t="n">
        <v>0.6</v>
      </c>
      <c r="C95" s="72" t="n">
        <v>1</v>
      </c>
      <c r="D95" s="67" t="n">
        <v>-17.99510981953292</v>
      </c>
      <c r="E95" s="67" t="n">
        <v>27.01403870465879</v>
      </c>
      <c r="F95" s="67" t="n">
        <v>45.00914852419172</v>
      </c>
    </row>
    <row r="96">
      <c r="A96" s="71" t="inlineStr">
        <is>
          <t>Scrap reduction</t>
        </is>
      </c>
      <c r="B96" s="58" t="n">
        <v>0.2</v>
      </c>
      <c r="C96" s="58" t="n">
        <v>0.5</v>
      </c>
      <c r="D96" s="67" t="n">
        <v>7.376539348554191</v>
      </c>
      <c r="E96" s="67" t="n">
        <v>46.65153806076337</v>
      </c>
      <c r="F96" s="67" t="n">
        <v>39.27499871220918</v>
      </c>
    </row>
    <row r="97">
      <c r="A97" s="71" t="inlineStr">
        <is>
          <t>Variant projects / yr</t>
        </is>
      </c>
      <c r="B97" s="72" t="n">
        <v>2</v>
      </c>
      <c r="C97" s="72" t="n">
        <v>5</v>
      </c>
      <c r="D97" s="67" t="n">
        <v>18.83174730628188</v>
      </c>
      <c r="E97" s="67" t="n">
        <v>43.37862150141261</v>
      </c>
      <c r="F97" s="67" t="n">
        <v>24.54687419513073</v>
      </c>
    </row>
    <row r="98">
      <c r="A98" s="71" t="inlineStr">
        <is>
          <t>Cost per variant project</t>
        </is>
      </c>
      <c r="B98" s="72" t="n">
        <v>5</v>
      </c>
      <c r="C98" s="72" t="n">
        <v>15</v>
      </c>
      <c r="D98" s="67" t="n">
        <v>14.74060160709343</v>
      </c>
      <c r="E98" s="67" t="n">
        <v>39.28747580222415</v>
      </c>
      <c r="F98" s="67" t="n">
        <v>24.54687419513073</v>
      </c>
    </row>
    <row r="99">
      <c r="A99" s="71" t="inlineStr">
        <is>
          <t>Variant cost reduction</t>
        </is>
      </c>
      <c r="B99" s="58" t="n">
        <v>0.2</v>
      </c>
      <c r="C99" s="58" t="n">
        <v>0.5</v>
      </c>
      <c r="D99" s="67" t="n">
        <v>16.49394976388848</v>
      </c>
      <c r="E99" s="67" t="n">
        <v>37.5341276454291</v>
      </c>
      <c r="F99" s="67" t="n">
        <v>21.04017788154063</v>
      </c>
    </row>
    <row r="100">
      <c r="A100" s="71" t="inlineStr">
        <is>
          <t>Operator NVA eliminated</t>
        </is>
      </c>
      <c r="B100" s="58" t="n">
        <v>0.15</v>
      </c>
      <c r="C100" s="58" t="n">
        <v>0.45</v>
      </c>
      <c r="D100" s="67" t="n">
        <v>18.37353898797276</v>
      </c>
      <c r="E100" s="67" t="n">
        <v>35.6545384213448</v>
      </c>
      <c r="F100" s="67" t="n">
        <v>17.28099943337204</v>
      </c>
    </row>
    <row r="101">
      <c r="A101" s="71" t="inlineStr">
        <is>
          <t>Maintenance reduction</t>
        </is>
      </c>
      <c r="B101" s="58" t="n">
        <v>0.05</v>
      </c>
      <c r="C101" s="58" t="n">
        <v>0.15</v>
      </c>
      <c r="D101" s="67" t="n">
        <v>18.50445565034678</v>
      </c>
      <c r="E101" s="67" t="n">
        <v>35.52362175897076</v>
      </c>
      <c r="F101" s="67" t="n">
        <v>17.01916610862397</v>
      </c>
    </row>
    <row r="102">
      <c r="A102" s="71" t="inlineStr">
        <is>
          <t>Energy reduction</t>
        </is>
      </c>
      <c r="B102" s="58" t="n">
        <v>0.02</v>
      </c>
      <c r="C102" s="58" t="n">
        <v>0.08</v>
      </c>
      <c r="D102" s="67" t="n">
        <v>22.30103885919367</v>
      </c>
      <c r="E102" s="67" t="n">
        <v>31.72703855012389</v>
      </c>
      <c r="F102" s="67" t="n">
        <v>9.425999690930212</v>
      </c>
    </row>
    <row r="103">
      <c r="A103" s="71" t="inlineStr">
        <is>
          <t>Running cost %</t>
        </is>
      </c>
      <c r="B103" s="58" t="n">
        <v>0.12</v>
      </c>
      <c r="C103" s="58" t="n">
        <v>0.08</v>
      </c>
      <c r="D103" s="67" t="n">
        <v>23.77962476124955</v>
      </c>
      <c r="E103" s="67" t="n">
        <v>30.24845264806801</v>
      </c>
      <c r="F103" s="67" t="n">
        <v>6.468827886818463</v>
      </c>
    </row>
    <row r="104">
      <c r="A104" s="3" t="inlineStr">
        <is>
          <t>Use the top 2-3 drivers as the assumptions you defend hardest in Q&amp;A, and as the KPIs you track first in the pilot.</t>
        </is>
      </c>
    </row>
  </sheetData>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H104"/>
  <sheetViews>
    <sheetView workbookViewId="0">
      <selection activeCell="A1" sqref="A1"/>
    </sheetView>
  </sheetViews>
  <sheetFormatPr baseColWidth="8" defaultRowHeight="15"/>
  <cols>
    <col width="62" customWidth="1" min="1" max="1"/>
    <col width="18" customWidth="1" min="2" max="2"/>
    <col width="18" customWidth="1" min="3" max="3"/>
    <col width="18" customWidth="1" min="4" max="4"/>
    <col width="20" customWidth="1" min="5" max="5"/>
    <col width="14" customWidth="1" min="6" max="6"/>
    <col width="14" customWidth="1" min="7" max="7"/>
    <col width="16" customWidth="1" min="8" max="8"/>
  </cols>
  <sheetData>
    <row r="1">
      <c r="A1" s="1" t="inlineStr">
        <is>
          <t>Idea tests: simulation results (values produced by run_tests.py, not formulas)</t>
        </is>
      </c>
    </row>
    <row r="2">
      <c r="A2" s="54" t="inlineStr">
        <is>
          <t>Re-run run_tests.py after changing assumptions. Process parameters below are illustrative assumptions, not TMMIN data: present them as a mechanism test, and show the sensitivity.</t>
        </is>
      </c>
    </row>
    <row r="4">
      <c r="A4" s="3" t="inlineStr">
        <is>
          <t>TEST 1. Does closing the quality loop beat adding technology alone? (sealer drift -&gt; inspection -&gt; feedback, 1 year, 175,000 units, 300 runs)</t>
        </is>
      </c>
    </row>
    <row r="5">
      <c r="A5" s="55" t="inlineStr">
        <is>
          <t>Scenario</t>
        </is>
      </c>
      <c r="B5" s="55" t="inlineStr">
        <is>
          <t>Defective units / yr</t>
        </is>
      </c>
      <c r="C5" s="55" t="inlineStr">
        <is>
          <t>Scrapped units / yr</t>
        </is>
      </c>
      <c r="D5" s="55" t="inlineStr">
        <is>
          <t>Escaped defects / yr</t>
        </is>
      </c>
      <c r="E5" s="55" t="inlineStr">
        <is>
          <t>Units built while drifting</t>
        </is>
      </c>
      <c r="F5" s="55" t="inlineStr">
        <is>
          <t>Scrap vs today</t>
        </is>
      </c>
      <c r="G5" s="55" t="inlineStr">
        <is>
          <t>Escapes vs today</t>
        </is>
      </c>
      <c r="H5" s="55" t="inlineStr">
        <is>
          <t>Scrap P5-P95</t>
        </is>
      </c>
    </row>
    <row r="6">
      <c r="A6" s="56" t="inlineStr">
        <is>
          <t>1. Today: visual at final inspection, manual feedback</t>
        </is>
      </c>
      <c r="B6" s="57" t="n">
        <v>4266.68</v>
      </c>
      <c r="C6" s="57" t="n">
        <v>1088.524</v>
      </c>
      <c r="D6" s="57" t="n">
        <v>638.2666666666667</v>
      </c>
      <c r="E6" s="57" t="n">
        <v>15796.09333333333</v>
      </c>
      <c r="F6" s="58" t="n">
        <v>0</v>
      </c>
      <c r="G6" s="58" t="n">
        <v>0</v>
      </c>
      <c r="H6" s="57" t="inlineStr">
        <is>
          <t>835 - 1,365</t>
        </is>
      </c>
    </row>
    <row r="7">
      <c r="A7" s="56" t="inlineStr">
        <is>
          <t>2. Better camera at end-of-line only (tech, no loop)</t>
        </is>
      </c>
      <c r="B7" s="57" t="n">
        <v>4265.323333333334</v>
      </c>
      <c r="C7" s="57" t="n">
        <v>1215.776</v>
      </c>
      <c r="D7" s="57" t="n">
        <v>212.7366666666667</v>
      </c>
      <c r="E7" s="57" t="n">
        <v>15793.25666666667</v>
      </c>
      <c r="F7" s="58" t="n">
        <v>0.1169032561523677</v>
      </c>
      <c r="G7" s="58" t="n">
        <v>-0.6666962607060789</v>
      </c>
      <c r="H7" s="57" t="inlineStr">
        <is>
          <t>910 - 1,492</t>
        </is>
      </c>
    </row>
    <row r="8">
      <c r="A8" s="56" t="inlineStr">
        <is>
          <t>3. Closed loop at sealer, 31% of alerts dismissed (as today)</t>
        </is>
      </c>
      <c r="B8" s="57" t="n">
        <v>1652.95</v>
      </c>
      <c r="C8" s="57" t="n">
        <v>362.1536666666667</v>
      </c>
      <c r="D8" s="57" t="n">
        <v>203.26</v>
      </c>
      <c r="E8" s="57" t="n">
        <v>5247.72</v>
      </c>
      <c r="F8" s="58" t="n">
        <v>-0.6672984089770491</v>
      </c>
      <c r="G8" s="58" t="n">
        <v>-0.6815437643618132</v>
      </c>
      <c r="H8" s="57" t="inlineStr">
        <is>
          <t>216 - 543</t>
        </is>
      </c>
    </row>
    <row r="9">
      <c r="A9" s="59" t="inlineStr">
        <is>
          <t>4. Closed loop with people-centred design (10% dismissed)</t>
        </is>
      </c>
      <c r="B9" s="60" t="n">
        <v>908.3233333333334</v>
      </c>
      <c r="C9" s="60" t="n">
        <v>166.8633333333333</v>
      </c>
      <c r="D9" s="60" t="n">
        <v>88.00666666666666</v>
      </c>
      <c r="E9" s="60" t="n">
        <v>2257.006666666667</v>
      </c>
      <c r="F9" s="61" t="n">
        <v>-0.8467067943992661</v>
      </c>
      <c r="G9" s="61" t="n">
        <v>-0.862116147900564</v>
      </c>
      <c r="H9" s="60" t="inlineStr">
        <is>
          <t>83 - 270</t>
        </is>
      </c>
    </row>
    <row r="11">
      <c r="A11" s="3" t="inlineStr">
        <is>
          <t>What this shows</t>
        </is>
      </c>
    </row>
    <row r="12" ht="28" customHeight="1">
      <c r="A12" s="62" t="inlineStr">
        <is>
          <t>- A better camera at end-of-line alone changes scrap by +12% while escapes fall 67%: it catches more bad units, but too late, so escapes turn into scrap. It does not prevent defects.</t>
        </is>
      </c>
    </row>
    <row r="13" ht="28" customHeight="1">
      <c r="A13" s="62" t="inlineStr">
        <is>
          <t>- Closing the loop right after the sealer cuts scrap 85% and escapes 86%, because a drift is stopped within a few units instead of hundreds.</t>
        </is>
      </c>
    </row>
    <row r="14" ht="28" customHeight="1">
      <c r="A14" s="62" t="inlineStr">
        <is>
          <t>- If operators dismiss alerts in 31% of drift episodes (today's override rate), scrap reduction falls to 67%. Trust, training and alert design are part of the value, not an add-on.</t>
        </is>
      </c>
    </row>
    <row r="15" ht="28" customHeight="1">
      <c r="A15" s="62" t="inlineStr">
        <is>
          <t>- Plant-wide: if the pilot scope causes 40% of plant scrap (team assumption), the plant-wide scrap cut is about 34%. Compare with the 20% / 35% / 50% lever in Assumptions.</t>
        </is>
      </c>
    </row>
    <row r="16" ht="28" customHeight="1">
      <c r="A16" s="62" t="inlineStr">
        <is>
          <t>- Deck message: value comes from redesigning the system (where the check sits, how fast the signal travels, who acts on it), not from buying the device. That is exactly the case ask.</t>
        </is>
      </c>
    </row>
    <row r="18">
      <c r="A18" s="3" t="inlineStr">
        <is>
          <t>Process assumptions used (illustrative, change and re-run)</t>
        </is>
      </c>
    </row>
    <row r="19">
      <c r="A19" s="54" t="inlineStr">
        <is>
          <t>Defect probability per unit, stable sealer</t>
        </is>
      </c>
      <c r="B19" s="20" t="n">
        <v>0.002</v>
      </c>
    </row>
    <row r="20">
      <c r="A20" s="54" t="inlineStr">
        <is>
          <t>Average units between drift events</t>
        </is>
      </c>
      <c r="B20" s="63" t="n">
        <v>5000</v>
      </c>
    </row>
    <row r="21">
      <c r="A21" s="54" t="inlineStr">
        <is>
          <t>Defect probability per unit while drifting</t>
        </is>
      </c>
      <c r="B21" s="20" t="n">
        <v>0.25</v>
      </c>
    </row>
    <row r="22">
      <c r="A22" s="54" t="inlineStr">
        <is>
          <t>Manual visual detection rate at final inspection</t>
        </is>
      </c>
      <c r="B22" s="20" t="n">
        <v>0.85</v>
      </c>
    </row>
    <row r="23">
      <c r="A23" s="54" t="inlineStr">
        <is>
          <t>Share of sealer defect modes the in-line AI camera can see</t>
        </is>
      </c>
      <c r="B23" s="20" t="n">
        <v>0.7</v>
      </c>
    </row>
    <row r="24">
      <c r="A24" s="54" t="inlineStr">
        <is>
          <t>Units between sealer and today's final inspection</t>
        </is>
      </c>
      <c r="B24" s="63" t="n">
        <v>300</v>
      </c>
    </row>
    <row r="25">
      <c r="A25" s="54" t="inlineStr">
        <is>
          <t>Units built before manual feedback reaches the sealer</t>
        </is>
      </c>
      <c r="B25" s="63" t="n">
        <v>150</v>
      </c>
    </row>
    <row r="26">
      <c r="A26" s="54" t="inlineStr">
        <is>
          <t>Share of late-found defects scrapped</t>
        </is>
      </c>
      <c r="B26" s="20" t="n">
        <v>0.3</v>
      </c>
    </row>
    <row r="27">
      <c r="A27" s="54" t="inlineStr">
        <is>
          <t>Share of early-found defects scrapped</t>
        </is>
      </c>
      <c r="B27" s="20" t="n">
        <v>0.05</v>
      </c>
    </row>
    <row r="28">
      <c r="A28" s="54" t="inlineStr">
        <is>
          <t>Share of plant scrap from the pilot scope (team assumption)</t>
        </is>
      </c>
      <c r="B28" s="20" t="n">
        <v>0.4</v>
      </c>
    </row>
    <row r="29" ht="28" customHeight="1">
      <c r="A29" s="62" t="inlineStr">
        <is>
          <t>In-line check: 5 units after sealer, automatic feedback within 10 units, 90% detection on visible defect modes (case: AI camera in validation to Oct 2026).</t>
        </is>
      </c>
    </row>
    <row r="31">
      <c r="A31" s="3" t="inlineStr">
        <is>
          <t>Robustness: closed-loop (scenario 4) scrap reduction vs today when each assumption changes</t>
        </is>
      </c>
    </row>
    <row r="32">
      <c r="A32" s="55" t="inlineStr">
        <is>
          <t>Assumption</t>
        </is>
      </c>
      <c r="B32" s="55" t="inlineStr">
        <is>
          <t>Low</t>
        </is>
      </c>
      <c r="C32" s="55" t="inlineStr">
        <is>
          <t>Reduction</t>
        </is>
      </c>
      <c r="D32" s="55" t="inlineStr">
        <is>
          <t>Base</t>
        </is>
      </c>
      <c r="E32" s="55" t="inlineStr">
        <is>
          <t>Reduction</t>
        </is>
      </c>
      <c r="F32" s="55" t="inlineStr">
        <is>
          <t>High</t>
        </is>
      </c>
      <c r="G32" s="55" t="inlineStr">
        <is>
          <t>Reduction</t>
        </is>
      </c>
    </row>
    <row r="33">
      <c r="A33" s="3" t="inlineStr">
        <is>
          <t>AI camera coverage of defect modes</t>
        </is>
      </c>
      <c r="B33" s="20" t="n">
        <v>0.5</v>
      </c>
      <c r="C33" s="64" t="n">
        <v>0.8247043005741556</v>
      </c>
      <c r="D33" s="20" t="n">
        <v>0.7</v>
      </c>
      <c r="E33" s="64" t="n">
        <v>0.8468422609923756</v>
      </c>
      <c r="F33" s="20" t="n">
        <v>0.9</v>
      </c>
      <c r="G33" s="64" t="n">
        <v>0.8667088181512177</v>
      </c>
    </row>
    <row r="34">
      <c r="A34" s="3" t="inlineStr">
        <is>
          <t>Drift defect rate</t>
        </is>
      </c>
      <c r="B34" s="20" t="n">
        <v>0.1</v>
      </c>
      <c r="C34" s="64" t="n">
        <v>0.8026017993273447</v>
      </c>
      <c r="D34" s="20" t="n">
        <v>0.25</v>
      </c>
      <c r="E34" s="64" t="n">
        <v>0.8479906256107048</v>
      </c>
      <c r="F34" s="20" t="n">
        <v>0.4</v>
      </c>
      <c r="G34" s="64" t="n">
        <v>0.8649243431242232</v>
      </c>
    </row>
    <row r="35">
      <c r="A35" s="3" t="inlineStr">
        <is>
          <t>Units between drift events</t>
        </is>
      </c>
      <c r="B35" s="63" t="n">
        <v>2500</v>
      </c>
      <c r="C35" s="64" t="n">
        <v>0.8634074536698797</v>
      </c>
      <c r="D35" s="63" t="n">
        <v>5000</v>
      </c>
      <c r="E35" s="64" t="n">
        <v>0.8582510378017658</v>
      </c>
      <c r="F35" s="63" t="n">
        <v>10000</v>
      </c>
      <c r="G35" s="64" t="n">
        <v>0.8336816505910225</v>
      </c>
    </row>
    <row r="36">
      <c r="A36" s="3" t="inlineStr">
        <is>
          <t>Late-found scrap share</t>
        </is>
      </c>
      <c r="B36" s="20" t="n">
        <v>0.15</v>
      </c>
      <c r="C36" s="64" t="n">
        <v>0.8314626883200975</v>
      </c>
      <c r="D36" s="20" t="n">
        <v>0.3</v>
      </c>
      <c r="E36" s="64" t="n">
        <v>0.8538779573335564</v>
      </c>
      <c r="F36" s="20" t="n">
        <v>0.5</v>
      </c>
      <c r="G36" s="64" t="n">
        <v>0.8501771115300518</v>
      </c>
    </row>
    <row r="37">
      <c r="A37" s="3" t="inlineStr">
        <is>
          <t>Units from sealer to today's inspection</t>
        </is>
      </c>
      <c r="B37" s="63" t="n">
        <v>100</v>
      </c>
      <c r="C37" s="64" t="n">
        <v>0.8111230466252334</v>
      </c>
      <c r="D37" s="63" t="n">
        <v>300</v>
      </c>
      <c r="E37" s="64" t="n">
        <v>0.8492533988756621</v>
      </c>
      <c r="F37" s="63" t="n">
        <v>600</v>
      </c>
      <c r="G37" s="64" t="n">
        <v>0.8737976071910339</v>
      </c>
    </row>
    <row r="38">
      <c r="A38" s="3" t="inlineStr">
        <is>
          <t>Lowest scrap reduction across all tested cases: 80%. The mechanism holds even with pessimistic process assumptions.</t>
        </is>
      </c>
    </row>
    <row r="40">
      <c r="A40" s="3" t="inlineStr">
        <is>
          <t>People test: how much value is lost when operators dismiss alerts?</t>
        </is>
      </c>
    </row>
    <row r="41">
      <c r="A41" s="55" t="inlineStr">
        <is>
          <t>Share of drift episodes where alerts are dismissed</t>
        </is>
      </c>
      <c r="B41" s="55" t="inlineStr">
        <is>
          <t>Scrap reduction vs today</t>
        </is>
      </c>
    </row>
    <row r="42">
      <c r="A42" s="20" t="n">
        <v>0</v>
      </c>
      <c r="B42" s="64" t="n">
        <v>0.9392930243154951</v>
      </c>
    </row>
    <row r="43">
      <c r="A43" s="20" t="n">
        <v>0.1</v>
      </c>
      <c r="B43" s="64" t="n">
        <v>0.8445760803926541</v>
      </c>
    </row>
    <row r="44">
      <c r="A44" s="20" t="n">
        <v>0.2</v>
      </c>
      <c r="B44" s="64" t="n">
        <v>0.7497194978398884</v>
      </c>
    </row>
    <row r="45">
      <c r="A45" s="20" t="n">
        <v>0.31</v>
      </c>
      <c r="B45" s="64" t="n">
        <v>0.6431060163426193</v>
      </c>
    </row>
    <row r="46">
      <c r="A46" s="20" t="n">
        <v>0.5</v>
      </c>
      <c r="B46" s="64" t="n">
        <v>0.4964125733562145</v>
      </c>
    </row>
    <row r="47" ht="28" customHeight="1">
      <c r="A47" s="62" t="inlineStr">
        <is>
          <t>Exhibit 6B says 31% of operators frequently override alerts today. This chart is the quantified case for the people part of the idea.</t>
        </is>
      </c>
    </row>
    <row r="49">
      <c r="A49" s="3" t="inlineStr">
        <is>
          <t>TEST 2. Is the business case robust? Financial Monte Carlo (10,000 runs, mirrors the Model tab incl. pilot-light phasing)</t>
        </is>
      </c>
    </row>
    <row r="50">
      <c r="A50" s="55" t="inlineStr">
        <is>
          <t>Metric</t>
        </is>
      </c>
      <c r="B50" s="55" t="inlineStr">
        <is>
          <t>Value</t>
        </is>
      </c>
      <c r="C50" s="55" t="inlineStr">
        <is>
          <t>Note</t>
        </is>
      </c>
    </row>
    <row r="51">
      <c r="A51" s="3" t="inlineStr">
        <is>
          <t>Deterministic base NPV (check vs Model tab)</t>
        </is>
      </c>
      <c r="B51" s="65" t="n">
        <v>27.01403870465879</v>
      </c>
      <c r="C51" s="54" t="inlineStr">
        <is>
          <t>Should match Dashboard base NPV</t>
        </is>
      </c>
    </row>
    <row r="52">
      <c r="A52" s="3" t="inlineStr">
        <is>
          <t>Mean NPV</t>
        </is>
      </c>
      <c r="B52" s="65" t="n">
        <v>11.82360761131173</v>
      </c>
      <c r="C52" s="54" t="inlineStr">
        <is>
          <t>Rp billion</t>
        </is>
      </c>
    </row>
    <row r="53">
      <c r="A53" s="3" t="inlineStr">
        <is>
          <t>P5 NPV (bad case)</t>
        </is>
      </c>
      <c r="B53" s="65" t="n">
        <v>-19.41291040060244</v>
      </c>
      <c r="C53" s="54" t="inlineStr">
        <is>
          <t>1-in-20 downside</t>
        </is>
      </c>
    </row>
    <row r="54">
      <c r="A54" s="3" t="inlineStr">
        <is>
          <t>Median NPV</t>
        </is>
      </c>
      <c r="B54" s="65" t="n">
        <v>11.7084469092985</v>
      </c>
      <c r="C54" s="54" t="inlineStr"/>
    </row>
    <row r="55">
      <c r="A55" s="3" t="inlineStr">
        <is>
          <t>P95 NPV (good case)</t>
        </is>
      </c>
      <c r="B55" s="65" t="n">
        <v>43.10332192077205</v>
      </c>
      <c r="C55" s="54" t="inlineStr"/>
    </row>
    <row r="56">
      <c r="A56" s="3" t="inlineStr">
        <is>
          <t>Probability NPV &gt; 0</t>
        </is>
      </c>
      <c r="B56" s="64" t="n">
        <v>0.7311</v>
      </c>
      <c r="C56" s="54" t="inlineStr">
        <is>
          <t>Headline for the financial slide</t>
        </is>
      </c>
    </row>
    <row r="57">
      <c r="A57" s="3" t="inlineStr">
        <is>
          <t>Median full run-rate savings (Rp B/yr)</t>
        </is>
      </c>
      <c r="B57" s="65" t="n">
        <v>49.0844126012166</v>
      </c>
      <c r="C57" s="54" t="inlineStr"/>
    </row>
    <row r="58">
      <c r="A58" s="3" t="inlineStr">
        <is>
          <t>Median run-rate as % of conversion cost</t>
        </is>
      </c>
      <c r="B58" s="64" t="n">
        <v>0.08765073678788678</v>
      </c>
      <c r="C58" s="54" t="inlineStr">
        <is>
          <t>vs 16% gap to benchmark</t>
        </is>
      </c>
    </row>
    <row r="60">
      <c r="A60" s="3" t="inlineStr">
        <is>
          <t>TEST 2b. How should the roadmap spend the money? Same 10,000 runs, five strategies (gate = stop scaling if 2027 pilot adoption &lt; 80%; happens in 25% of runs)</t>
        </is>
      </c>
    </row>
    <row r="61">
      <c r="A61" s="55" t="inlineStr">
        <is>
          <t>Strategy</t>
        </is>
      </c>
      <c r="B61" s="55" t="inlineStr">
        <is>
          <t>Mean NPV</t>
        </is>
      </c>
      <c r="C61" s="55" t="inlineStr">
        <is>
          <t>P5 NPV</t>
        </is>
      </c>
      <c r="D61" s="55" t="inlineStr">
        <is>
          <t>Median NPV</t>
        </is>
      </c>
      <c r="E61" s="55" t="inlineStr">
        <is>
          <t>P95 NPV</t>
        </is>
      </c>
      <c r="F61" s="55" t="inlineStr">
        <is>
          <t>P(NPV &gt; 0)</t>
        </is>
      </c>
    </row>
    <row r="62">
      <c r="A62" s="66" t="inlineStr">
        <is>
          <t>A. Front-loaded phasing, no gate</t>
        </is>
      </c>
      <c r="B62" s="67" t="n">
        <v>-0.191332294676973</v>
      </c>
      <c r="C62" s="67" t="n">
        <v>-32.83255089311962</v>
      </c>
      <c r="D62" s="67" t="n">
        <v>-0.3737217276611755</v>
      </c>
      <c r="E62" s="67" t="n">
        <v>32.5044161216826</v>
      </c>
      <c r="F62" s="58" t="n">
        <v>0.4925</v>
      </c>
    </row>
    <row r="63">
      <c r="A63" s="66" t="inlineStr">
        <is>
          <t>B. Front-loaded phasing + gate (65% already spent)</t>
        </is>
      </c>
      <c r="B63" s="67" t="n">
        <v>-3.79967892697686</v>
      </c>
      <c r="C63" s="67" t="n">
        <v>-39.74590657971964</v>
      </c>
      <c r="D63" s="67" t="n">
        <v>-2.962350007986172</v>
      </c>
      <c r="E63" s="67" t="n">
        <v>32.40194504032392</v>
      </c>
      <c r="F63" s="58" t="n">
        <v>0.4518</v>
      </c>
    </row>
    <row r="64">
      <c r="A64" s="66" t="inlineStr">
        <is>
          <t>C. Pilot-light phasing, no gate (as in Model tab)</t>
        </is>
      </c>
      <c r="B64" s="67" t="n">
        <v>11.82360761131173</v>
      </c>
      <c r="C64" s="67" t="n">
        <v>-19.41291040060244</v>
      </c>
      <c r="D64" s="67" t="n">
        <v>11.7084469092985</v>
      </c>
      <c r="E64" s="67" t="n">
        <v>43.10332192077205</v>
      </c>
      <c r="F64" s="58" t="n">
        <v>0.7311</v>
      </c>
    </row>
    <row r="65">
      <c r="A65" s="68" t="inlineStr">
        <is>
          <t>D. Pilot-light phasing + gate</t>
        </is>
      </c>
      <c r="B65" s="69" t="n">
        <v>15.05090030021514</v>
      </c>
      <c r="C65" s="69" t="n">
        <v>-8.411626796801812</v>
      </c>
      <c r="D65" s="69" t="n">
        <v>13.32040175184729</v>
      </c>
      <c r="E65" s="69" t="n">
        <v>43.06772269056702</v>
      </c>
      <c r="F65" s="61" t="n">
        <v>0.8595</v>
      </c>
    </row>
    <row r="66">
      <c r="A66" s="66" t="inlineStr">
        <is>
          <t>E. D + remaining equipment life valued at book</t>
        </is>
      </c>
      <c r="B66" s="67" t="n">
        <v>36.01053481960803</v>
      </c>
      <c r="C66" s="67" t="n">
        <v>6.476777490438207</v>
      </c>
      <c r="D66" s="67" t="n">
        <v>36.96085240343595</v>
      </c>
      <c r="E66" s="67" t="n">
        <v>67.48368978517901</v>
      </c>
      <c r="F66" s="58" t="n">
        <v>0.9938</v>
      </c>
    </row>
    <row r="67">
      <c r="A67" s="66" t="inlineStr">
        <is>
          <t>F. D but savings ramp one year slower (stress test)</t>
        </is>
      </c>
      <c r="B67" s="67" t="n">
        <v>-7.534233621168762</v>
      </c>
      <c r="C67" s="67" t="n">
        <v>-31.89940806088983</v>
      </c>
      <c r="D67" s="67" t="n">
        <v>-5.542507323532465</v>
      </c>
      <c r="E67" s="67" t="n">
        <v>12.32550108470081</v>
      </c>
      <c r="F67" s="58" t="n">
        <v>0.3242</v>
      </c>
    </row>
    <row r="68">
      <c r="A68" s="66" t="inlineStr">
        <is>
          <t>G. F + remaining equipment life valued at book</t>
        </is>
      </c>
      <c r="B68" s="67" t="n">
        <v>13.42540089822414</v>
      </c>
      <c r="C68" s="67" t="n">
        <v>-3.778779125254701</v>
      </c>
      <c r="D68" s="67" t="n">
        <v>11.92716410770895</v>
      </c>
      <c r="E68" s="67" t="n">
        <v>35.1241416528562</v>
      </c>
      <c r="F68" s="58" t="n">
        <v>0.879</v>
      </c>
    </row>
    <row r="69" ht="30" customHeight="1">
      <c r="A69" s="62" t="inlineStr">
        <is>
          <t>Pilot-light phasing: 10% / 15% / 40% / 25% / 10% of capex in 2026-2030. Ramp-up kept the same to isolate the effect of phasing; if scaling later also delays savings, the gain is smaller.</t>
        </is>
      </c>
    </row>
    <row r="70" ht="58" customHeight="1">
      <c r="A70" s="9" t="inlineStr">
        <is>
          <t>Reading: a gate only protects value if little money is spent before it. Gate after heavy spending (B) destroys value; pilot-light + gate (D) is the design to defend in SQ3. Valuing equipment life beyond 2030 (E) is legitimate but state it openly. Stress test (F): if savings arrive a year late, P(NPV&gt;0) falls to 32% (88% if remaining equipment life is valued, G). Speed of the pilot is the make-or-break factor: quick wins in 2026-27 belong in the roadmap.</t>
        </is>
      </c>
    </row>
    <row r="71" ht="45" customHeight="1">
      <c r="A71" s="62" t="inlineStr">
        <is>
          <t>Ranges used (triangular low / mode / high): scrap 20/35/50%, maintenance 5/10/15%, NVA 15/30/45%, energy 2/5/8%, variant cost 20/35/50%, investment 60/80/110, running 8/9/12%, training 2/2.5/3, variant projects 2/3/5, cost per project 5/10/15, cash realization 30/50/70%, adoption 60/100/100%, labor share 35/40/45%.</t>
        </is>
      </c>
    </row>
    <row r="73">
      <c r="A73" s="3" t="inlineStr">
        <is>
          <t>NPV distribution (histogram)</t>
        </is>
      </c>
    </row>
    <row r="74">
      <c r="A74" s="55" t="inlineStr">
        <is>
          <t>NPV bin from (Rp B)</t>
        </is>
      </c>
      <c r="B74" s="55" t="inlineStr">
        <is>
          <t>Runs</t>
        </is>
      </c>
    </row>
    <row r="75">
      <c r="A75" s="65" t="n">
        <v>-51.6</v>
      </c>
      <c r="B75" s="70" t="n">
        <v>11</v>
      </c>
    </row>
    <row r="76">
      <c r="A76" s="65" t="n">
        <v>-41.6</v>
      </c>
      <c r="B76" s="70" t="n">
        <v>73</v>
      </c>
    </row>
    <row r="77">
      <c r="A77" s="65" t="n">
        <v>-31.5</v>
      </c>
      <c r="B77" s="70" t="n">
        <v>294</v>
      </c>
    </row>
    <row r="78">
      <c r="A78" s="65" t="n">
        <v>-21.5</v>
      </c>
      <c r="B78" s="70" t="n">
        <v>700</v>
      </c>
    </row>
    <row r="79">
      <c r="A79" s="65" t="n">
        <v>-11.5</v>
      </c>
      <c r="B79" s="70" t="n">
        <v>1367</v>
      </c>
    </row>
    <row r="80">
      <c r="A80" s="65" t="n">
        <v>-1.4</v>
      </c>
      <c r="B80" s="70" t="n">
        <v>1920</v>
      </c>
    </row>
    <row r="81">
      <c r="A81" s="65" t="n">
        <v>8.6</v>
      </c>
      <c r="B81" s="70" t="n">
        <v>2028</v>
      </c>
    </row>
    <row r="82">
      <c r="A82" s="65" t="n">
        <v>18.6</v>
      </c>
      <c r="B82" s="70" t="n">
        <v>1753</v>
      </c>
    </row>
    <row r="83">
      <c r="A83" s="65" t="n">
        <v>28.6</v>
      </c>
      <c r="B83" s="70" t="n">
        <v>1056</v>
      </c>
    </row>
    <row r="84">
      <c r="A84" s="65" t="n">
        <v>38.7</v>
      </c>
      <c r="B84" s="70" t="n">
        <v>560</v>
      </c>
    </row>
    <row r="85">
      <c r="A85" s="65" t="n">
        <v>48.7</v>
      </c>
      <c r="B85" s="70" t="n">
        <v>182</v>
      </c>
    </row>
    <row r="86">
      <c r="A86" s="65" t="n">
        <v>58.7</v>
      </c>
      <c r="B86" s="70" t="n">
        <v>43</v>
      </c>
    </row>
    <row r="87">
      <c r="A87" s="65" t="n">
        <v>68.8</v>
      </c>
      <c r="B87" s="70" t="n">
        <v>10</v>
      </c>
    </row>
    <row r="88">
      <c r="A88" s="65" t="n">
        <v>78.8</v>
      </c>
      <c r="B88" s="70" t="n">
        <v>2</v>
      </c>
    </row>
    <row r="89">
      <c r="A89" s="65" t="n">
        <v>88.8</v>
      </c>
      <c r="B89" s="70" t="n">
        <v>0</v>
      </c>
    </row>
    <row r="90">
      <c r="A90" s="65" t="n">
        <v>98.90000000000001</v>
      </c>
      <c r="B90" s="70" t="n">
        <v>1</v>
      </c>
    </row>
    <row r="92">
      <c r="A92" s="3" t="inlineStr">
        <is>
          <t>TEST 3. Which assumption matters most? Tornado (base case, one at a time)</t>
        </is>
      </c>
    </row>
    <row r="93">
      <c r="A93" s="55" t="inlineStr">
        <is>
          <t>Driver</t>
        </is>
      </c>
      <c r="B93" s="55" t="inlineStr">
        <is>
          <t>Low input</t>
        </is>
      </c>
      <c r="C93" s="55" t="inlineStr">
        <is>
          <t>High input</t>
        </is>
      </c>
      <c r="D93" s="55" t="inlineStr">
        <is>
          <t>NPV at low</t>
        </is>
      </c>
      <c r="E93" s="55" t="inlineStr">
        <is>
          <t>NPV at high</t>
        </is>
      </c>
      <c r="F93" s="55" t="inlineStr">
        <is>
          <t>Swing</t>
        </is>
      </c>
    </row>
    <row r="94">
      <c r="A94" s="71" t="inlineStr">
        <is>
          <t>Investment (Rp B)</t>
        </is>
      </c>
      <c r="B94" s="72" t="n">
        <v>110</v>
      </c>
      <c r="C94" s="72" t="n">
        <v>60</v>
      </c>
      <c r="D94" s="67" t="n">
        <v>-1.497910926203485</v>
      </c>
      <c r="E94" s="67" t="n">
        <v>46.02200512523363</v>
      </c>
      <c r="F94" s="67" t="n">
        <v>47.51991605143711</v>
      </c>
    </row>
    <row r="95">
      <c r="A95" s="71" t="inlineStr">
        <is>
          <t>Adoption achieved</t>
        </is>
      </c>
      <c r="B95" s="58" t="n">
        <v>0.6</v>
      </c>
      <c r="C95" s="72" t="n">
        <v>1</v>
      </c>
      <c r="D95" s="67" t="n">
        <v>-17.99510981953292</v>
      </c>
      <c r="E95" s="67" t="n">
        <v>27.01403870465879</v>
      </c>
      <c r="F95" s="67" t="n">
        <v>45.00914852419172</v>
      </c>
    </row>
    <row r="96">
      <c r="A96" s="71" t="inlineStr">
        <is>
          <t>Scrap reduction</t>
        </is>
      </c>
      <c r="B96" s="58" t="n">
        <v>0.2</v>
      </c>
      <c r="C96" s="58" t="n">
        <v>0.5</v>
      </c>
      <c r="D96" s="67" t="n">
        <v>7.376539348554191</v>
      </c>
      <c r="E96" s="67" t="n">
        <v>46.65153806076337</v>
      </c>
      <c r="F96" s="67" t="n">
        <v>39.27499871220918</v>
      </c>
    </row>
    <row r="97">
      <c r="A97" s="71" t="inlineStr">
        <is>
          <t>Variant projects / yr</t>
        </is>
      </c>
      <c r="B97" s="72" t="n">
        <v>2</v>
      </c>
      <c r="C97" s="72" t="n">
        <v>5</v>
      </c>
      <c r="D97" s="67" t="n">
        <v>18.83174730628188</v>
      </c>
      <c r="E97" s="67" t="n">
        <v>43.37862150141261</v>
      </c>
      <c r="F97" s="67" t="n">
        <v>24.54687419513073</v>
      </c>
    </row>
    <row r="98">
      <c r="A98" s="71" t="inlineStr">
        <is>
          <t>Cost per variant project</t>
        </is>
      </c>
      <c r="B98" s="72" t="n">
        <v>5</v>
      </c>
      <c r="C98" s="72" t="n">
        <v>15</v>
      </c>
      <c r="D98" s="67" t="n">
        <v>14.74060160709343</v>
      </c>
      <c r="E98" s="67" t="n">
        <v>39.28747580222415</v>
      </c>
      <c r="F98" s="67" t="n">
        <v>24.54687419513073</v>
      </c>
    </row>
    <row r="99">
      <c r="A99" s="71" t="inlineStr">
        <is>
          <t>Variant cost reduction</t>
        </is>
      </c>
      <c r="B99" s="58" t="n">
        <v>0.2</v>
      </c>
      <c r="C99" s="58" t="n">
        <v>0.5</v>
      </c>
      <c r="D99" s="67" t="n">
        <v>16.49394976388848</v>
      </c>
      <c r="E99" s="67" t="n">
        <v>37.5341276454291</v>
      </c>
      <c r="F99" s="67" t="n">
        <v>21.04017788154063</v>
      </c>
    </row>
    <row r="100">
      <c r="A100" s="71" t="inlineStr">
        <is>
          <t>Operator NVA eliminated</t>
        </is>
      </c>
      <c r="B100" s="58" t="n">
        <v>0.15</v>
      </c>
      <c r="C100" s="58" t="n">
        <v>0.45</v>
      </c>
      <c r="D100" s="67" t="n">
        <v>18.37353898797276</v>
      </c>
      <c r="E100" s="67" t="n">
        <v>35.6545384213448</v>
      </c>
      <c r="F100" s="67" t="n">
        <v>17.28099943337204</v>
      </c>
    </row>
    <row r="101">
      <c r="A101" s="71" t="inlineStr">
        <is>
          <t>Maintenance reduction</t>
        </is>
      </c>
      <c r="B101" s="58" t="n">
        <v>0.05</v>
      </c>
      <c r="C101" s="58" t="n">
        <v>0.15</v>
      </c>
      <c r="D101" s="67" t="n">
        <v>18.50445565034678</v>
      </c>
      <c r="E101" s="67" t="n">
        <v>35.52362175897076</v>
      </c>
      <c r="F101" s="67" t="n">
        <v>17.01916610862397</v>
      </c>
    </row>
    <row r="102">
      <c r="A102" s="71" t="inlineStr">
        <is>
          <t>Energy reduction</t>
        </is>
      </c>
      <c r="B102" s="58" t="n">
        <v>0.02</v>
      </c>
      <c r="C102" s="58" t="n">
        <v>0.08</v>
      </c>
      <c r="D102" s="67" t="n">
        <v>22.30103885919367</v>
      </c>
      <c r="E102" s="67" t="n">
        <v>31.72703855012389</v>
      </c>
      <c r="F102" s="67" t="n">
        <v>9.425999690930212</v>
      </c>
    </row>
    <row r="103">
      <c r="A103" s="71" t="inlineStr">
        <is>
          <t>Running cost %</t>
        </is>
      </c>
      <c r="B103" s="58" t="n">
        <v>0.12</v>
      </c>
      <c r="C103" s="58" t="n">
        <v>0.08</v>
      </c>
      <c r="D103" s="67" t="n">
        <v>23.77962476124955</v>
      </c>
      <c r="E103" s="67" t="n">
        <v>30.24845264806801</v>
      </c>
      <c r="F103" s="67" t="n">
        <v>6.468827886818463</v>
      </c>
    </row>
    <row r="104">
      <c r="A104" s="3" t="inlineStr">
        <is>
          <t>Use the top 2-3 drivers as the assumptions you defend hardest in Q&amp;A, and as the KPIs you track first in the pilot.</t>
        </is>
      </c>
    </row>
  </sheetData>
  <pageMargins left="0.75" right="0.75" top="1" bottom="1" header="0.5" footer="0.5"/>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H104"/>
  <sheetViews>
    <sheetView workbookViewId="0">
      <selection activeCell="A1" sqref="A1"/>
    </sheetView>
  </sheetViews>
  <sheetFormatPr baseColWidth="8" defaultRowHeight="15"/>
  <cols>
    <col width="62" customWidth="1" min="1" max="1"/>
    <col width="18" customWidth="1" min="2" max="2"/>
    <col width="18" customWidth="1" min="3" max="3"/>
    <col width="18" customWidth="1" min="4" max="4"/>
    <col width="20" customWidth="1" min="5" max="5"/>
    <col width="14" customWidth="1" min="6" max="6"/>
    <col width="14" customWidth="1" min="7" max="7"/>
    <col width="16" customWidth="1" min="8" max="8"/>
  </cols>
  <sheetData>
    <row r="1">
      <c r="A1" s="1" t="inlineStr">
        <is>
          <t>Idea tests: simulation results (values produced by run_tests.py, not formulas)</t>
        </is>
      </c>
    </row>
    <row r="2">
      <c r="A2" s="54" t="inlineStr">
        <is>
          <t>Re-run run_tests.py after changing assumptions. Process parameters below are illustrative assumptions, not TMMIN data: present them as a mechanism test, and show the sensitivity.</t>
        </is>
      </c>
    </row>
    <row r="4">
      <c r="A4" s="3" t="inlineStr">
        <is>
          <t>TEST 1. Does closing the quality loop beat adding technology alone? (sealer drift -&gt; inspection -&gt; feedback, 1 year, 175,000 units, 300 runs)</t>
        </is>
      </c>
    </row>
    <row r="5">
      <c r="A5" s="55" t="inlineStr">
        <is>
          <t>Scenario</t>
        </is>
      </c>
      <c r="B5" s="55" t="inlineStr">
        <is>
          <t>Defective units / yr</t>
        </is>
      </c>
      <c r="C5" s="55" t="inlineStr">
        <is>
          <t>Scrapped units / yr</t>
        </is>
      </c>
      <c r="D5" s="55" t="inlineStr">
        <is>
          <t>Escaped defects / yr</t>
        </is>
      </c>
      <c r="E5" s="55" t="inlineStr">
        <is>
          <t>Units built while drifting</t>
        </is>
      </c>
      <c r="F5" s="55" t="inlineStr">
        <is>
          <t>Scrap vs today</t>
        </is>
      </c>
      <c r="G5" s="55" t="inlineStr">
        <is>
          <t>Escapes vs today</t>
        </is>
      </c>
      <c r="H5" s="55" t="inlineStr">
        <is>
          <t>Scrap P5-P95</t>
        </is>
      </c>
    </row>
    <row r="6">
      <c r="A6" s="56" t="inlineStr">
        <is>
          <t>1. Today: visual at final inspection, manual feedback</t>
        </is>
      </c>
      <c r="B6" s="57" t="n">
        <v>4266.68</v>
      </c>
      <c r="C6" s="57" t="n">
        <v>1088.524</v>
      </c>
      <c r="D6" s="57" t="n">
        <v>638.2666666666667</v>
      </c>
      <c r="E6" s="57" t="n">
        <v>15796.09333333333</v>
      </c>
      <c r="F6" s="58" t="n">
        <v>0</v>
      </c>
      <c r="G6" s="58" t="n">
        <v>0</v>
      </c>
      <c r="H6" s="57" t="inlineStr">
        <is>
          <t>835 - 1,365</t>
        </is>
      </c>
    </row>
    <row r="7">
      <c r="A7" s="56" t="inlineStr">
        <is>
          <t>2. Better camera at end-of-line only (tech, no loop)</t>
        </is>
      </c>
      <c r="B7" s="57" t="n">
        <v>4265.323333333334</v>
      </c>
      <c r="C7" s="57" t="n">
        <v>1215.776</v>
      </c>
      <c r="D7" s="57" t="n">
        <v>212.7366666666667</v>
      </c>
      <c r="E7" s="57" t="n">
        <v>15793.25666666667</v>
      </c>
      <c r="F7" s="58" t="n">
        <v>0.1169032561523677</v>
      </c>
      <c r="G7" s="58" t="n">
        <v>-0.6666962607060789</v>
      </c>
      <c r="H7" s="57" t="inlineStr">
        <is>
          <t>910 - 1,492</t>
        </is>
      </c>
    </row>
    <row r="8">
      <c r="A8" s="56" t="inlineStr">
        <is>
          <t>3. Closed loop at sealer, 31% of alerts dismissed (as today)</t>
        </is>
      </c>
      <c r="B8" s="57" t="n">
        <v>1652.95</v>
      </c>
      <c r="C8" s="57" t="n">
        <v>362.1536666666667</v>
      </c>
      <c r="D8" s="57" t="n">
        <v>203.26</v>
      </c>
      <c r="E8" s="57" t="n">
        <v>5247.72</v>
      </c>
      <c r="F8" s="58" t="n">
        <v>-0.6672984089770491</v>
      </c>
      <c r="G8" s="58" t="n">
        <v>-0.6815437643618132</v>
      </c>
      <c r="H8" s="57" t="inlineStr">
        <is>
          <t>216 - 543</t>
        </is>
      </c>
    </row>
    <row r="9">
      <c r="A9" s="59" t="inlineStr">
        <is>
          <t>4. Closed loop with people-centred design (10% dismissed)</t>
        </is>
      </c>
      <c r="B9" s="60" t="n">
        <v>908.3233333333334</v>
      </c>
      <c r="C9" s="60" t="n">
        <v>166.8633333333333</v>
      </c>
      <c r="D9" s="60" t="n">
        <v>88.00666666666666</v>
      </c>
      <c r="E9" s="60" t="n">
        <v>2257.006666666667</v>
      </c>
      <c r="F9" s="61" t="n">
        <v>-0.8467067943992661</v>
      </c>
      <c r="G9" s="61" t="n">
        <v>-0.862116147900564</v>
      </c>
      <c r="H9" s="60" t="inlineStr">
        <is>
          <t>83 - 270</t>
        </is>
      </c>
    </row>
    <row r="11">
      <c r="A11" s="3" t="inlineStr">
        <is>
          <t>What this shows</t>
        </is>
      </c>
    </row>
    <row r="12" ht="28" customHeight="1">
      <c r="A12" s="62" t="inlineStr">
        <is>
          <t>- A better camera at end-of-line alone changes scrap by +12% while escapes fall 67%: it catches more bad units, but too late, so escapes turn into scrap. It does not prevent defects.</t>
        </is>
      </c>
    </row>
    <row r="13" ht="28" customHeight="1">
      <c r="A13" s="62" t="inlineStr">
        <is>
          <t>- Closing the loop right after the sealer cuts scrap 85% and escapes 86%, because a drift is stopped within a few units instead of hundreds.</t>
        </is>
      </c>
    </row>
    <row r="14" ht="28" customHeight="1">
      <c r="A14" s="62" t="inlineStr">
        <is>
          <t>- If operators dismiss alerts in 31% of drift episodes (today's override rate), scrap reduction falls to 67%. Trust, training and alert design are part of the value, not an add-on.</t>
        </is>
      </c>
    </row>
    <row r="15" ht="28" customHeight="1">
      <c r="A15" s="62" t="inlineStr">
        <is>
          <t>- Plant-wide: if the pilot scope causes 40% of plant scrap (team assumption), the plant-wide scrap cut is about 34%. Compare with the 20% / 35% / 50% lever in Assumptions.</t>
        </is>
      </c>
    </row>
    <row r="16" ht="28" customHeight="1">
      <c r="A16" s="62" t="inlineStr">
        <is>
          <t>- Deck message: value comes from redesigning the system (where the check sits, how fast the signal travels, who acts on it), not from buying the device. That is exactly the case ask.</t>
        </is>
      </c>
    </row>
    <row r="18">
      <c r="A18" s="3" t="inlineStr">
        <is>
          <t>Process assumptions used (illustrative, change and re-run)</t>
        </is>
      </c>
    </row>
    <row r="19">
      <c r="A19" s="54" t="inlineStr">
        <is>
          <t>Defect probability per unit, stable sealer</t>
        </is>
      </c>
      <c r="B19" s="20" t="n">
        <v>0.002</v>
      </c>
    </row>
    <row r="20">
      <c r="A20" s="54" t="inlineStr">
        <is>
          <t>Average units between drift events</t>
        </is>
      </c>
      <c r="B20" s="63" t="n">
        <v>5000</v>
      </c>
    </row>
    <row r="21">
      <c r="A21" s="54" t="inlineStr">
        <is>
          <t>Defect probability per unit while drifting</t>
        </is>
      </c>
      <c r="B21" s="20" t="n">
        <v>0.25</v>
      </c>
    </row>
    <row r="22">
      <c r="A22" s="54" t="inlineStr">
        <is>
          <t>Manual visual detection rate at final inspection</t>
        </is>
      </c>
      <c r="B22" s="20" t="n">
        <v>0.85</v>
      </c>
    </row>
    <row r="23">
      <c r="A23" s="54" t="inlineStr">
        <is>
          <t>Share of sealer defect modes the in-line AI camera can see</t>
        </is>
      </c>
      <c r="B23" s="20" t="n">
        <v>0.7</v>
      </c>
    </row>
    <row r="24">
      <c r="A24" s="54" t="inlineStr">
        <is>
          <t>Units between sealer and today's final inspection</t>
        </is>
      </c>
      <c r="B24" s="63" t="n">
        <v>300</v>
      </c>
    </row>
    <row r="25">
      <c r="A25" s="54" t="inlineStr">
        <is>
          <t>Units built before manual feedback reaches the sealer</t>
        </is>
      </c>
      <c r="B25" s="63" t="n">
        <v>150</v>
      </c>
    </row>
    <row r="26">
      <c r="A26" s="54" t="inlineStr">
        <is>
          <t>Share of late-found defects scrapped</t>
        </is>
      </c>
      <c r="B26" s="20" t="n">
        <v>0.3</v>
      </c>
    </row>
    <row r="27">
      <c r="A27" s="54" t="inlineStr">
        <is>
          <t>Share of early-found defects scrapped</t>
        </is>
      </c>
      <c r="B27" s="20" t="n">
        <v>0.05</v>
      </c>
    </row>
    <row r="28">
      <c r="A28" s="54" t="inlineStr">
        <is>
          <t>Share of plant scrap from the pilot scope (team assumption)</t>
        </is>
      </c>
      <c r="B28" s="20" t="n">
        <v>0.4</v>
      </c>
    </row>
    <row r="29" ht="28" customHeight="1">
      <c r="A29" s="62" t="inlineStr">
        <is>
          <t>In-line check: 5 units after sealer, automatic feedback within 10 units, 90% detection on visible defect modes (case: AI camera in validation to Oct 2026).</t>
        </is>
      </c>
    </row>
    <row r="31">
      <c r="A31" s="3" t="inlineStr">
        <is>
          <t>Robustness: closed-loop (scenario 4) scrap reduction vs today when each assumption changes</t>
        </is>
      </c>
    </row>
    <row r="32">
      <c r="A32" s="55" t="inlineStr">
        <is>
          <t>Assumption</t>
        </is>
      </c>
      <c r="B32" s="55" t="inlineStr">
        <is>
          <t>Low</t>
        </is>
      </c>
      <c r="C32" s="55" t="inlineStr">
        <is>
          <t>Reduction</t>
        </is>
      </c>
      <c r="D32" s="55" t="inlineStr">
        <is>
          <t>Base</t>
        </is>
      </c>
      <c r="E32" s="55" t="inlineStr">
        <is>
          <t>Reduction</t>
        </is>
      </c>
      <c r="F32" s="55" t="inlineStr">
        <is>
          <t>High</t>
        </is>
      </c>
      <c r="G32" s="55" t="inlineStr">
        <is>
          <t>Reduction</t>
        </is>
      </c>
    </row>
    <row r="33">
      <c r="A33" s="3" t="inlineStr">
        <is>
          <t>AI camera coverage of defect modes</t>
        </is>
      </c>
      <c r="B33" s="20" t="n">
        <v>0.5</v>
      </c>
      <c r="C33" s="64" t="n">
        <v>0.8247043005741556</v>
      </c>
      <c r="D33" s="20" t="n">
        <v>0.7</v>
      </c>
      <c r="E33" s="64" t="n">
        <v>0.8468422609923756</v>
      </c>
      <c r="F33" s="20" t="n">
        <v>0.9</v>
      </c>
      <c r="G33" s="64" t="n">
        <v>0.8667088181512177</v>
      </c>
    </row>
    <row r="34">
      <c r="A34" s="3" t="inlineStr">
        <is>
          <t>Drift defect rate</t>
        </is>
      </c>
      <c r="B34" s="20" t="n">
        <v>0.1</v>
      </c>
      <c r="C34" s="64" t="n">
        <v>0.8026017993273447</v>
      </c>
      <c r="D34" s="20" t="n">
        <v>0.25</v>
      </c>
      <c r="E34" s="64" t="n">
        <v>0.8479906256107048</v>
      </c>
      <c r="F34" s="20" t="n">
        <v>0.4</v>
      </c>
      <c r="G34" s="64" t="n">
        <v>0.8649243431242232</v>
      </c>
    </row>
    <row r="35">
      <c r="A35" s="3" t="inlineStr">
        <is>
          <t>Units between drift events</t>
        </is>
      </c>
      <c r="B35" s="63" t="n">
        <v>2500</v>
      </c>
      <c r="C35" s="64" t="n">
        <v>0.8634074536698797</v>
      </c>
      <c r="D35" s="63" t="n">
        <v>5000</v>
      </c>
      <c r="E35" s="64" t="n">
        <v>0.8582510378017658</v>
      </c>
      <c r="F35" s="63" t="n">
        <v>10000</v>
      </c>
      <c r="G35" s="64" t="n">
        <v>0.8336816505910225</v>
      </c>
    </row>
    <row r="36">
      <c r="A36" s="3" t="inlineStr">
        <is>
          <t>Late-found scrap share</t>
        </is>
      </c>
      <c r="B36" s="20" t="n">
        <v>0.15</v>
      </c>
      <c r="C36" s="64" t="n">
        <v>0.8314626883200975</v>
      </c>
      <c r="D36" s="20" t="n">
        <v>0.3</v>
      </c>
      <c r="E36" s="64" t="n">
        <v>0.8538779573335564</v>
      </c>
      <c r="F36" s="20" t="n">
        <v>0.5</v>
      </c>
      <c r="G36" s="64" t="n">
        <v>0.8501771115300518</v>
      </c>
    </row>
    <row r="37">
      <c r="A37" s="3" t="inlineStr">
        <is>
          <t>Units from sealer to today's inspection</t>
        </is>
      </c>
      <c r="B37" s="63" t="n">
        <v>100</v>
      </c>
      <c r="C37" s="64" t="n">
        <v>0.8111230466252334</v>
      </c>
      <c r="D37" s="63" t="n">
        <v>300</v>
      </c>
      <c r="E37" s="64" t="n">
        <v>0.8492533988756621</v>
      </c>
      <c r="F37" s="63" t="n">
        <v>600</v>
      </c>
      <c r="G37" s="64" t="n">
        <v>0.8737976071910339</v>
      </c>
    </row>
    <row r="38">
      <c r="A38" s="3" t="inlineStr">
        <is>
          <t>Lowest scrap reduction across all tested cases: 80%. The mechanism holds even with pessimistic process assumptions.</t>
        </is>
      </c>
    </row>
    <row r="40">
      <c r="A40" s="3" t="inlineStr">
        <is>
          <t>People test: how much value is lost when operators dismiss alerts?</t>
        </is>
      </c>
    </row>
    <row r="41">
      <c r="A41" s="55" t="inlineStr">
        <is>
          <t>Share of drift episodes where alerts are dismissed</t>
        </is>
      </c>
      <c r="B41" s="55" t="inlineStr">
        <is>
          <t>Scrap reduction vs today</t>
        </is>
      </c>
    </row>
    <row r="42">
      <c r="A42" s="20" t="n">
        <v>0</v>
      </c>
      <c r="B42" s="64" t="n">
        <v>0.9392930243154951</v>
      </c>
    </row>
    <row r="43">
      <c r="A43" s="20" t="n">
        <v>0.1</v>
      </c>
      <c r="B43" s="64" t="n">
        <v>0.8445760803926541</v>
      </c>
    </row>
    <row r="44">
      <c r="A44" s="20" t="n">
        <v>0.2</v>
      </c>
      <c r="B44" s="64" t="n">
        <v>0.7497194978398884</v>
      </c>
    </row>
    <row r="45">
      <c r="A45" s="20" t="n">
        <v>0.31</v>
      </c>
      <c r="B45" s="64" t="n">
        <v>0.6431060163426193</v>
      </c>
    </row>
    <row r="46">
      <c r="A46" s="20" t="n">
        <v>0.5</v>
      </c>
      <c r="B46" s="64" t="n">
        <v>0.4964125733562145</v>
      </c>
    </row>
    <row r="47" ht="28" customHeight="1">
      <c r="A47" s="62" t="inlineStr">
        <is>
          <t>Exhibit 6B says 31% of operators frequently override alerts today. This chart is the quantified case for the people part of the idea.</t>
        </is>
      </c>
    </row>
    <row r="49">
      <c r="A49" s="3" t="inlineStr">
        <is>
          <t>TEST 2. Is the business case robust? Financial Monte Carlo (10,000 runs, mirrors the Model tab incl. pilot-light phasing)</t>
        </is>
      </c>
    </row>
    <row r="50">
      <c r="A50" s="55" t="inlineStr">
        <is>
          <t>Metric</t>
        </is>
      </c>
      <c r="B50" s="55" t="inlineStr">
        <is>
          <t>Value</t>
        </is>
      </c>
      <c r="C50" s="55" t="inlineStr">
        <is>
          <t>Note</t>
        </is>
      </c>
    </row>
    <row r="51">
      <c r="A51" s="3" t="inlineStr">
        <is>
          <t>Deterministic base NPV (check vs Model tab)</t>
        </is>
      </c>
      <c r="B51" s="65" t="n">
        <v>27.01403870465879</v>
      </c>
      <c r="C51" s="54" t="inlineStr">
        <is>
          <t>Should match Dashboard base NPV</t>
        </is>
      </c>
    </row>
    <row r="52">
      <c r="A52" s="3" t="inlineStr">
        <is>
          <t>Mean NPV</t>
        </is>
      </c>
      <c r="B52" s="65" t="n">
        <v>11.82360761131173</v>
      </c>
      <c r="C52" s="54" t="inlineStr">
        <is>
          <t>Rp billion</t>
        </is>
      </c>
    </row>
    <row r="53">
      <c r="A53" s="3" t="inlineStr">
        <is>
          <t>P5 NPV (bad case)</t>
        </is>
      </c>
      <c r="B53" s="65" t="n">
        <v>-19.41291040060244</v>
      </c>
      <c r="C53" s="54" t="inlineStr">
        <is>
          <t>1-in-20 downside</t>
        </is>
      </c>
    </row>
    <row r="54">
      <c r="A54" s="3" t="inlineStr">
        <is>
          <t>Median NPV</t>
        </is>
      </c>
      <c r="B54" s="65" t="n">
        <v>11.7084469092985</v>
      </c>
      <c r="C54" s="54" t="inlineStr"/>
    </row>
    <row r="55">
      <c r="A55" s="3" t="inlineStr">
        <is>
          <t>P95 NPV (good case)</t>
        </is>
      </c>
      <c r="B55" s="65" t="n">
        <v>43.10332192077205</v>
      </c>
      <c r="C55" s="54" t="inlineStr"/>
    </row>
    <row r="56">
      <c r="A56" s="3" t="inlineStr">
        <is>
          <t>Probability NPV &gt; 0</t>
        </is>
      </c>
      <c r="B56" s="64" t="n">
        <v>0.7311</v>
      </c>
      <c r="C56" s="54" t="inlineStr">
        <is>
          <t>Headline for the financial slide</t>
        </is>
      </c>
    </row>
    <row r="57">
      <c r="A57" s="3" t="inlineStr">
        <is>
          <t>Median full run-rate savings (Rp B/yr)</t>
        </is>
      </c>
      <c r="B57" s="65" t="n">
        <v>49.0844126012166</v>
      </c>
      <c r="C57" s="54" t="inlineStr"/>
    </row>
    <row r="58">
      <c r="A58" s="3" t="inlineStr">
        <is>
          <t>Median run-rate as % of conversion cost</t>
        </is>
      </c>
      <c r="B58" s="64" t="n">
        <v>0.08765073678788678</v>
      </c>
      <c r="C58" s="54" t="inlineStr">
        <is>
          <t>vs 16% gap to benchmark</t>
        </is>
      </c>
    </row>
    <row r="60">
      <c r="A60" s="3" t="inlineStr">
        <is>
          <t>TEST 2b. How should the roadmap spend the money? Same 10,000 runs, five strategies (gate = stop scaling if 2027 pilot adoption &lt; 80%; happens in 25% of runs)</t>
        </is>
      </c>
    </row>
    <row r="61">
      <c r="A61" s="55" t="inlineStr">
        <is>
          <t>Strategy</t>
        </is>
      </c>
      <c r="B61" s="55" t="inlineStr">
        <is>
          <t>Mean NPV</t>
        </is>
      </c>
      <c r="C61" s="55" t="inlineStr">
        <is>
          <t>P5 NPV</t>
        </is>
      </c>
      <c r="D61" s="55" t="inlineStr">
        <is>
          <t>Median NPV</t>
        </is>
      </c>
      <c r="E61" s="55" t="inlineStr">
        <is>
          <t>P95 NPV</t>
        </is>
      </c>
      <c r="F61" s="55" t="inlineStr">
        <is>
          <t>P(NPV &gt; 0)</t>
        </is>
      </c>
    </row>
    <row r="62">
      <c r="A62" s="66" t="inlineStr">
        <is>
          <t>A. Front-loaded phasing, no gate</t>
        </is>
      </c>
      <c r="B62" s="67" t="n">
        <v>-0.191332294676973</v>
      </c>
      <c r="C62" s="67" t="n">
        <v>-32.83255089311962</v>
      </c>
      <c r="D62" s="67" t="n">
        <v>-0.3737217276611755</v>
      </c>
      <c r="E62" s="67" t="n">
        <v>32.5044161216826</v>
      </c>
      <c r="F62" s="58" t="n">
        <v>0.4925</v>
      </c>
    </row>
    <row r="63">
      <c r="A63" s="66" t="inlineStr">
        <is>
          <t>B. Front-loaded phasing + gate (65% already spent)</t>
        </is>
      </c>
      <c r="B63" s="67" t="n">
        <v>-3.79967892697686</v>
      </c>
      <c r="C63" s="67" t="n">
        <v>-39.74590657971964</v>
      </c>
      <c r="D63" s="67" t="n">
        <v>-2.962350007986172</v>
      </c>
      <c r="E63" s="67" t="n">
        <v>32.40194504032392</v>
      </c>
      <c r="F63" s="58" t="n">
        <v>0.4518</v>
      </c>
    </row>
    <row r="64">
      <c r="A64" s="66" t="inlineStr">
        <is>
          <t>C. Pilot-light phasing, no gate (as in Model tab)</t>
        </is>
      </c>
      <c r="B64" s="67" t="n">
        <v>11.82360761131173</v>
      </c>
      <c r="C64" s="67" t="n">
        <v>-19.41291040060244</v>
      </c>
      <c r="D64" s="67" t="n">
        <v>11.7084469092985</v>
      </c>
      <c r="E64" s="67" t="n">
        <v>43.10332192077205</v>
      </c>
      <c r="F64" s="58" t="n">
        <v>0.7311</v>
      </c>
    </row>
    <row r="65">
      <c r="A65" s="68" t="inlineStr">
        <is>
          <t>D. Pilot-light phasing + gate</t>
        </is>
      </c>
      <c r="B65" s="69" t="n">
        <v>15.05090030021514</v>
      </c>
      <c r="C65" s="69" t="n">
        <v>-8.411626796801812</v>
      </c>
      <c r="D65" s="69" t="n">
        <v>13.32040175184729</v>
      </c>
      <c r="E65" s="69" t="n">
        <v>43.06772269056702</v>
      </c>
      <c r="F65" s="61" t="n">
        <v>0.8595</v>
      </c>
    </row>
    <row r="66">
      <c r="A66" s="66" t="inlineStr">
        <is>
          <t>E. D + remaining equipment life valued at book</t>
        </is>
      </c>
      <c r="B66" s="67" t="n">
        <v>36.01053481960803</v>
      </c>
      <c r="C66" s="67" t="n">
        <v>6.476777490438207</v>
      </c>
      <c r="D66" s="67" t="n">
        <v>36.96085240343595</v>
      </c>
      <c r="E66" s="67" t="n">
        <v>67.48368978517901</v>
      </c>
      <c r="F66" s="58" t="n">
        <v>0.9938</v>
      </c>
    </row>
    <row r="67">
      <c r="A67" s="66" t="inlineStr">
        <is>
          <t>F. D but savings ramp one year slower (stress test)</t>
        </is>
      </c>
      <c r="B67" s="67" t="n">
        <v>-7.534233621168762</v>
      </c>
      <c r="C67" s="67" t="n">
        <v>-31.89940806088983</v>
      </c>
      <c r="D67" s="67" t="n">
        <v>-5.542507323532465</v>
      </c>
      <c r="E67" s="67" t="n">
        <v>12.32550108470081</v>
      </c>
      <c r="F67" s="58" t="n">
        <v>0.3242</v>
      </c>
    </row>
    <row r="68">
      <c r="A68" s="66" t="inlineStr">
        <is>
          <t>G. F + remaining equipment life valued at book</t>
        </is>
      </c>
      <c r="B68" s="67" t="n">
        <v>13.42540089822414</v>
      </c>
      <c r="C68" s="67" t="n">
        <v>-3.778779125254701</v>
      </c>
      <c r="D68" s="67" t="n">
        <v>11.92716410770895</v>
      </c>
      <c r="E68" s="67" t="n">
        <v>35.1241416528562</v>
      </c>
      <c r="F68" s="58" t="n">
        <v>0.879</v>
      </c>
    </row>
    <row r="69" ht="30" customHeight="1">
      <c r="A69" s="62" t="inlineStr">
        <is>
          <t>Pilot-light phasing: 10% / 15% / 40% / 25% / 10% of capex in 2026-2030. Ramp-up kept the same to isolate the effect of phasing; if scaling later also delays savings, the gain is smaller.</t>
        </is>
      </c>
    </row>
    <row r="70" ht="58" customHeight="1">
      <c r="A70" s="9" t="inlineStr">
        <is>
          <t>Reading: a gate only protects value if little money is spent before it. Gate after heavy spending (B) destroys value; pilot-light + gate (D) is the design to defend in SQ3. Valuing equipment life beyond 2030 (E) is legitimate but state it openly. Stress test (F): if savings arrive a year late, P(NPV&gt;0) falls to 32% (88% if remaining equipment life is valued, G). Speed of the pilot is the make-or-break factor: quick wins in 2026-27 belong in the roadmap.</t>
        </is>
      </c>
    </row>
    <row r="71" ht="45" customHeight="1">
      <c r="A71" s="62" t="inlineStr">
        <is>
          <t>Ranges used (triangular low / mode / high): scrap 20/35/50%, maintenance 5/10/15%, NVA 15/30/45%, energy 2/5/8%, variant cost 20/35/50%, investment 60/80/110, running 8/9/12%, training 2/2.5/3, variant projects 2/3/5, cost per project 5/10/15, cash realization 30/50/70%, adoption 60/100/100%, labor share 35/40/45%.</t>
        </is>
      </c>
    </row>
    <row r="73">
      <c r="A73" s="3" t="inlineStr">
        <is>
          <t>NPV distribution (histogram)</t>
        </is>
      </c>
    </row>
    <row r="74">
      <c r="A74" s="55" t="inlineStr">
        <is>
          <t>NPV bin from (Rp B)</t>
        </is>
      </c>
      <c r="B74" s="55" t="inlineStr">
        <is>
          <t>Runs</t>
        </is>
      </c>
    </row>
    <row r="75">
      <c r="A75" s="65" t="n">
        <v>-51.6</v>
      </c>
      <c r="B75" s="70" t="n">
        <v>11</v>
      </c>
    </row>
    <row r="76">
      <c r="A76" s="65" t="n">
        <v>-41.6</v>
      </c>
      <c r="B76" s="70" t="n">
        <v>73</v>
      </c>
    </row>
    <row r="77">
      <c r="A77" s="65" t="n">
        <v>-31.5</v>
      </c>
      <c r="B77" s="70" t="n">
        <v>294</v>
      </c>
    </row>
    <row r="78">
      <c r="A78" s="65" t="n">
        <v>-21.5</v>
      </c>
      <c r="B78" s="70" t="n">
        <v>700</v>
      </c>
    </row>
    <row r="79">
      <c r="A79" s="65" t="n">
        <v>-11.5</v>
      </c>
      <c r="B79" s="70" t="n">
        <v>1367</v>
      </c>
    </row>
    <row r="80">
      <c r="A80" s="65" t="n">
        <v>-1.4</v>
      </c>
      <c r="B80" s="70" t="n">
        <v>1920</v>
      </c>
    </row>
    <row r="81">
      <c r="A81" s="65" t="n">
        <v>8.6</v>
      </c>
      <c r="B81" s="70" t="n">
        <v>2028</v>
      </c>
    </row>
    <row r="82">
      <c r="A82" s="65" t="n">
        <v>18.6</v>
      </c>
      <c r="B82" s="70" t="n">
        <v>1753</v>
      </c>
    </row>
    <row r="83">
      <c r="A83" s="65" t="n">
        <v>28.6</v>
      </c>
      <c r="B83" s="70" t="n">
        <v>1056</v>
      </c>
    </row>
    <row r="84">
      <c r="A84" s="65" t="n">
        <v>38.7</v>
      </c>
      <c r="B84" s="70" t="n">
        <v>560</v>
      </c>
    </row>
    <row r="85">
      <c r="A85" s="65" t="n">
        <v>48.7</v>
      </c>
      <c r="B85" s="70" t="n">
        <v>182</v>
      </c>
    </row>
    <row r="86">
      <c r="A86" s="65" t="n">
        <v>58.7</v>
      </c>
      <c r="B86" s="70" t="n">
        <v>43</v>
      </c>
    </row>
    <row r="87">
      <c r="A87" s="65" t="n">
        <v>68.8</v>
      </c>
      <c r="B87" s="70" t="n">
        <v>10</v>
      </c>
    </row>
    <row r="88">
      <c r="A88" s="65" t="n">
        <v>78.8</v>
      </c>
      <c r="B88" s="70" t="n">
        <v>2</v>
      </c>
    </row>
    <row r="89">
      <c r="A89" s="65" t="n">
        <v>88.8</v>
      </c>
      <c r="B89" s="70" t="n">
        <v>0</v>
      </c>
    </row>
    <row r="90">
      <c r="A90" s="65" t="n">
        <v>98.90000000000001</v>
      </c>
      <c r="B90" s="70" t="n">
        <v>1</v>
      </c>
    </row>
    <row r="92">
      <c r="A92" s="3" t="inlineStr">
        <is>
          <t>TEST 3. Which assumption matters most? Tornado (base case, one at a time)</t>
        </is>
      </c>
    </row>
    <row r="93">
      <c r="A93" s="55" t="inlineStr">
        <is>
          <t>Driver</t>
        </is>
      </c>
      <c r="B93" s="55" t="inlineStr">
        <is>
          <t>Low input</t>
        </is>
      </c>
      <c r="C93" s="55" t="inlineStr">
        <is>
          <t>High input</t>
        </is>
      </c>
      <c r="D93" s="55" t="inlineStr">
        <is>
          <t>NPV at low</t>
        </is>
      </c>
      <c r="E93" s="55" t="inlineStr">
        <is>
          <t>NPV at high</t>
        </is>
      </c>
      <c r="F93" s="55" t="inlineStr">
        <is>
          <t>Swing</t>
        </is>
      </c>
    </row>
    <row r="94">
      <c r="A94" s="71" t="inlineStr">
        <is>
          <t>Investment (Rp B)</t>
        </is>
      </c>
      <c r="B94" s="72" t="n">
        <v>110</v>
      </c>
      <c r="C94" s="72" t="n">
        <v>60</v>
      </c>
      <c r="D94" s="67" t="n">
        <v>-1.497910926203485</v>
      </c>
      <c r="E94" s="67" t="n">
        <v>46.02200512523363</v>
      </c>
      <c r="F94" s="67" t="n">
        <v>47.51991605143711</v>
      </c>
    </row>
    <row r="95">
      <c r="A95" s="71" t="inlineStr">
        <is>
          <t>Adoption achieved</t>
        </is>
      </c>
      <c r="B95" s="58" t="n">
        <v>0.6</v>
      </c>
      <c r="C95" s="72" t="n">
        <v>1</v>
      </c>
      <c r="D95" s="67" t="n">
        <v>-17.99510981953292</v>
      </c>
      <c r="E95" s="67" t="n">
        <v>27.01403870465879</v>
      </c>
      <c r="F95" s="67" t="n">
        <v>45.00914852419172</v>
      </c>
    </row>
    <row r="96">
      <c r="A96" s="71" t="inlineStr">
        <is>
          <t>Scrap reduction</t>
        </is>
      </c>
      <c r="B96" s="58" t="n">
        <v>0.2</v>
      </c>
      <c r="C96" s="58" t="n">
        <v>0.5</v>
      </c>
      <c r="D96" s="67" t="n">
        <v>7.376539348554191</v>
      </c>
      <c r="E96" s="67" t="n">
        <v>46.65153806076337</v>
      </c>
      <c r="F96" s="67" t="n">
        <v>39.27499871220918</v>
      </c>
    </row>
    <row r="97">
      <c r="A97" s="71" t="inlineStr">
        <is>
          <t>Variant projects / yr</t>
        </is>
      </c>
      <c r="B97" s="72" t="n">
        <v>2</v>
      </c>
      <c r="C97" s="72" t="n">
        <v>5</v>
      </c>
      <c r="D97" s="67" t="n">
        <v>18.83174730628188</v>
      </c>
      <c r="E97" s="67" t="n">
        <v>43.37862150141261</v>
      </c>
      <c r="F97" s="67" t="n">
        <v>24.54687419513073</v>
      </c>
    </row>
    <row r="98">
      <c r="A98" s="71" t="inlineStr">
        <is>
          <t>Cost per variant project</t>
        </is>
      </c>
      <c r="B98" s="72" t="n">
        <v>5</v>
      </c>
      <c r="C98" s="72" t="n">
        <v>15</v>
      </c>
      <c r="D98" s="67" t="n">
        <v>14.74060160709343</v>
      </c>
      <c r="E98" s="67" t="n">
        <v>39.28747580222415</v>
      </c>
      <c r="F98" s="67" t="n">
        <v>24.54687419513073</v>
      </c>
    </row>
    <row r="99">
      <c r="A99" s="71" t="inlineStr">
        <is>
          <t>Variant cost reduction</t>
        </is>
      </c>
      <c r="B99" s="58" t="n">
        <v>0.2</v>
      </c>
      <c r="C99" s="58" t="n">
        <v>0.5</v>
      </c>
      <c r="D99" s="67" t="n">
        <v>16.49394976388848</v>
      </c>
      <c r="E99" s="67" t="n">
        <v>37.5341276454291</v>
      </c>
      <c r="F99" s="67" t="n">
        <v>21.04017788154063</v>
      </c>
    </row>
    <row r="100">
      <c r="A100" s="71" t="inlineStr">
        <is>
          <t>Operator NVA eliminated</t>
        </is>
      </c>
      <c r="B100" s="58" t="n">
        <v>0.15</v>
      </c>
      <c r="C100" s="58" t="n">
        <v>0.45</v>
      </c>
      <c r="D100" s="67" t="n">
        <v>18.37353898797276</v>
      </c>
      <c r="E100" s="67" t="n">
        <v>35.6545384213448</v>
      </c>
      <c r="F100" s="67" t="n">
        <v>17.28099943337204</v>
      </c>
    </row>
    <row r="101">
      <c r="A101" s="71" t="inlineStr">
        <is>
          <t>Maintenance reduction</t>
        </is>
      </c>
      <c r="B101" s="58" t="n">
        <v>0.05</v>
      </c>
      <c r="C101" s="58" t="n">
        <v>0.15</v>
      </c>
      <c r="D101" s="67" t="n">
        <v>18.50445565034678</v>
      </c>
      <c r="E101" s="67" t="n">
        <v>35.52362175897076</v>
      </c>
      <c r="F101" s="67" t="n">
        <v>17.01916610862397</v>
      </c>
    </row>
    <row r="102">
      <c r="A102" s="71" t="inlineStr">
        <is>
          <t>Energy reduction</t>
        </is>
      </c>
      <c r="B102" s="58" t="n">
        <v>0.02</v>
      </c>
      <c r="C102" s="58" t="n">
        <v>0.08</v>
      </c>
      <c r="D102" s="67" t="n">
        <v>22.30103885919367</v>
      </c>
      <c r="E102" s="67" t="n">
        <v>31.72703855012389</v>
      </c>
      <c r="F102" s="67" t="n">
        <v>9.425999690930212</v>
      </c>
    </row>
    <row r="103">
      <c r="A103" s="71" t="inlineStr">
        <is>
          <t>Running cost %</t>
        </is>
      </c>
      <c r="B103" s="58" t="n">
        <v>0.12</v>
      </c>
      <c r="C103" s="58" t="n">
        <v>0.08</v>
      </c>
      <c r="D103" s="67" t="n">
        <v>23.77962476124955</v>
      </c>
      <c r="E103" s="67" t="n">
        <v>30.24845264806801</v>
      </c>
      <c r="F103" s="67" t="n">
        <v>6.468827886818463</v>
      </c>
    </row>
    <row r="104">
      <c r="A104" s="3" t="inlineStr">
        <is>
          <t>Use the top 2-3 drivers as the assumptions you defend hardest in Q&amp;A, and as the KPIs you track first in the pilot.</t>
        </is>
      </c>
    </row>
  </sheetData>
  <pageMargins left="0.75" right="0.75" top="1" bottom="1" header="0.5" footer="0.5"/>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H104"/>
  <sheetViews>
    <sheetView workbookViewId="0">
      <selection activeCell="A1" sqref="A1"/>
    </sheetView>
  </sheetViews>
  <sheetFormatPr baseColWidth="8" defaultRowHeight="15"/>
  <cols>
    <col width="62" customWidth="1" min="1" max="1"/>
    <col width="18" customWidth="1" min="2" max="2"/>
    <col width="18" customWidth="1" min="3" max="3"/>
    <col width="18" customWidth="1" min="4" max="4"/>
    <col width="20" customWidth="1" min="5" max="5"/>
    <col width="14" customWidth="1" min="6" max="6"/>
    <col width="14" customWidth="1" min="7" max="7"/>
    <col width="16" customWidth="1" min="8" max="8"/>
  </cols>
  <sheetData>
    <row r="1">
      <c r="A1" s="1" t="inlineStr">
        <is>
          <t>Idea tests: simulation results (values produced by run_tests.py, not formulas)</t>
        </is>
      </c>
    </row>
    <row r="2">
      <c r="A2" s="54" t="inlineStr">
        <is>
          <t>Re-run run_tests.py after changing assumptions. Process parameters below are illustrative assumptions, not TMMIN data: present them as a mechanism test, and show the sensitivity.</t>
        </is>
      </c>
    </row>
    <row r="4">
      <c r="A4" s="3" t="inlineStr">
        <is>
          <t>TEST 1. Does closing the quality loop beat adding technology alone? (sealer drift -&gt; inspection -&gt; feedback, 1 year, 175,000 units, 300 runs)</t>
        </is>
      </c>
    </row>
    <row r="5">
      <c r="A5" s="55" t="inlineStr">
        <is>
          <t>Scenario</t>
        </is>
      </c>
      <c r="B5" s="55" t="inlineStr">
        <is>
          <t>Defective units / yr</t>
        </is>
      </c>
      <c r="C5" s="55" t="inlineStr">
        <is>
          <t>Scrapped units / yr</t>
        </is>
      </c>
      <c r="D5" s="55" t="inlineStr">
        <is>
          <t>Escaped defects / yr</t>
        </is>
      </c>
      <c r="E5" s="55" t="inlineStr">
        <is>
          <t>Units built while drifting</t>
        </is>
      </c>
      <c r="F5" s="55" t="inlineStr">
        <is>
          <t>Scrap vs today</t>
        </is>
      </c>
      <c r="G5" s="55" t="inlineStr">
        <is>
          <t>Escapes vs today</t>
        </is>
      </c>
      <c r="H5" s="55" t="inlineStr">
        <is>
          <t>Scrap P5-P95</t>
        </is>
      </c>
    </row>
    <row r="6">
      <c r="A6" s="56" t="inlineStr">
        <is>
          <t>1. Today: visual at final inspection, manual feedback</t>
        </is>
      </c>
      <c r="B6" s="57" t="n">
        <v>4266.68</v>
      </c>
      <c r="C6" s="57" t="n">
        <v>1088.524</v>
      </c>
      <c r="D6" s="57" t="n">
        <v>638.2666666666667</v>
      </c>
      <c r="E6" s="57" t="n">
        <v>15796.09333333333</v>
      </c>
      <c r="F6" s="58" t="n">
        <v>0</v>
      </c>
      <c r="G6" s="58" t="n">
        <v>0</v>
      </c>
      <c r="H6" s="57" t="inlineStr">
        <is>
          <t>835 - 1,365</t>
        </is>
      </c>
    </row>
    <row r="7">
      <c r="A7" s="56" t="inlineStr">
        <is>
          <t>2. Better camera at end-of-line only (tech, no loop)</t>
        </is>
      </c>
      <c r="B7" s="57" t="n">
        <v>4265.323333333334</v>
      </c>
      <c r="C7" s="57" t="n">
        <v>1215.776</v>
      </c>
      <c r="D7" s="57" t="n">
        <v>212.7366666666667</v>
      </c>
      <c r="E7" s="57" t="n">
        <v>15793.25666666667</v>
      </c>
      <c r="F7" s="58" t="n">
        <v>0.1169032561523677</v>
      </c>
      <c r="G7" s="58" t="n">
        <v>-0.6666962607060789</v>
      </c>
      <c r="H7" s="57" t="inlineStr">
        <is>
          <t>910 - 1,492</t>
        </is>
      </c>
    </row>
    <row r="8">
      <c r="A8" s="56" t="inlineStr">
        <is>
          <t>3. Closed loop at sealer, 31% of alerts dismissed (as today)</t>
        </is>
      </c>
      <c r="B8" s="57" t="n">
        <v>1652.95</v>
      </c>
      <c r="C8" s="57" t="n">
        <v>362.1536666666667</v>
      </c>
      <c r="D8" s="57" t="n">
        <v>203.26</v>
      </c>
      <c r="E8" s="57" t="n">
        <v>5247.72</v>
      </c>
      <c r="F8" s="58" t="n">
        <v>-0.6672984089770491</v>
      </c>
      <c r="G8" s="58" t="n">
        <v>-0.6815437643618132</v>
      </c>
      <c r="H8" s="57" t="inlineStr">
        <is>
          <t>216 - 543</t>
        </is>
      </c>
    </row>
    <row r="9">
      <c r="A9" s="59" t="inlineStr">
        <is>
          <t>4. Closed loop with people-centred design (10% dismissed)</t>
        </is>
      </c>
      <c r="B9" s="60" t="n">
        <v>908.3233333333334</v>
      </c>
      <c r="C9" s="60" t="n">
        <v>166.8633333333333</v>
      </c>
      <c r="D9" s="60" t="n">
        <v>88.00666666666666</v>
      </c>
      <c r="E9" s="60" t="n">
        <v>2257.006666666667</v>
      </c>
      <c r="F9" s="61" t="n">
        <v>-0.8467067943992661</v>
      </c>
      <c r="G9" s="61" t="n">
        <v>-0.862116147900564</v>
      </c>
      <c r="H9" s="60" t="inlineStr">
        <is>
          <t>83 - 270</t>
        </is>
      </c>
    </row>
    <row r="11">
      <c r="A11" s="3" t="inlineStr">
        <is>
          <t>What this shows</t>
        </is>
      </c>
    </row>
    <row r="12" ht="28" customHeight="1">
      <c r="A12" s="62" t="inlineStr">
        <is>
          <t>- A better camera at end-of-line alone changes scrap by +12% while escapes fall 67%: it catches more bad units, but too late, so escapes turn into scrap. It does not prevent defects.</t>
        </is>
      </c>
    </row>
    <row r="13" ht="28" customHeight="1">
      <c r="A13" s="62" t="inlineStr">
        <is>
          <t>- Closing the loop right after the sealer cuts scrap 85% and escapes 86%, because a drift is stopped within a few units instead of hundreds.</t>
        </is>
      </c>
    </row>
    <row r="14" ht="28" customHeight="1">
      <c r="A14" s="62" t="inlineStr">
        <is>
          <t>- If operators dismiss alerts in 31% of drift episodes (today's override rate), scrap reduction falls to 67%. Trust, training and alert design are part of the value, not an add-on.</t>
        </is>
      </c>
    </row>
    <row r="15" ht="28" customHeight="1">
      <c r="A15" s="62" t="inlineStr">
        <is>
          <t>- Plant-wide: if the pilot scope causes 40% of plant scrap (team assumption), the plant-wide scrap cut is about 34%. Compare with the 20% / 35% / 50% lever in Assumptions.</t>
        </is>
      </c>
    </row>
    <row r="16" ht="28" customHeight="1">
      <c r="A16" s="62" t="inlineStr">
        <is>
          <t>- Deck message: value comes from redesigning the system (where the check sits, how fast the signal travels, who acts on it), not from buying the device. That is exactly the case ask.</t>
        </is>
      </c>
    </row>
    <row r="18">
      <c r="A18" s="3" t="inlineStr">
        <is>
          <t>Process assumptions used (illustrative, change and re-run)</t>
        </is>
      </c>
    </row>
    <row r="19">
      <c r="A19" s="54" t="inlineStr">
        <is>
          <t>Defect probability per unit, stable sealer</t>
        </is>
      </c>
      <c r="B19" s="20" t="n">
        <v>0.002</v>
      </c>
    </row>
    <row r="20">
      <c r="A20" s="54" t="inlineStr">
        <is>
          <t>Average units between drift events</t>
        </is>
      </c>
      <c r="B20" s="63" t="n">
        <v>5000</v>
      </c>
    </row>
    <row r="21">
      <c r="A21" s="54" t="inlineStr">
        <is>
          <t>Defect probability per unit while drifting</t>
        </is>
      </c>
      <c r="B21" s="20" t="n">
        <v>0.25</v>
      </c>
    </row>
    <row r="22">
      <c r="A22" s="54" t="inlineStr">
        <is>
          <t>Manual visual detection rate at final inspection</t>
        </is>
      </c>
      <c r="B22" s="20" t="n">
        <v>0.85</v>
      </c>
    </row>
    <row r="23">
      <c r="A23" s="54" t="inlineStr">
        <is>
          <t>Share of sealer defect modes the in-line AI camera can see</t>
        </is>
      </c>
      <c r="B23" s="20" t="n">
        <v>0.7</v>
      </c>
    </row>
    <row r="24">
      <c r="A24" s="54" t="inlineStr">
        <is>
          <t>Units between sealer and today's final inspection</t>
        </is>
      </c>
      <c r="B24" s="63" t="n">
        <v>300</v>
      </c>
    </row>
    <row r="25">
      <c r="A25" s="54" t="inlineStr">
        <is>
          <t>Units built before manual feedback reaches the sealer</t>
        </is>
      </c>
      <c r="B25" s="63" t="n">
        <v>150</v>
      </c>
    </row>
    <row r="26">
      <c r="A26" s="54" t="inlineStr">
        <is>
          <t>Share of late-found defects scrapped</t>
        </is>
      </c>
      <c r="B26" s="20" t="n">
        <v>0.3</v>
      </c>
    </row>
    <row r="27">
      <c r="A27" s="54" t="inlineStr">
        <is>
          <t>Share of early-found defects scrapped</t>
        </is>
      </c>
      <c r="B27" s="20" t="n">
        <v>0.05</v>
      </c>
    </row>
    <row r="28">
      <c r="A28" s="54" t="inlineStr">
        <is>
          <t>Share of plant scrap from the pilot scope (team assumption)</t>
        </is>
      </c>
      <c r="B28" s="20" t="n">
        <v>0.4</v>
      </c>
    </row>
    <row r="29" ht="28" customHeight="1">
      <c r="A29" s="62" t="inlineStr">
        <is>
          <t>In-line check: 5 units after sealer, automatic feedback within 10 units, 90% detection on visible defect modes (case: AI camera in validation to Oct 2026).</t>
        </is>
      </c>
    </row>
    <row r="31">
      <c r="A31" s="3" t="inlineStr">
        <is>
          <t>Robustness: closed-loop (scenario 4) scrap reduction vs today when each assumption changes</t>
        </is>
      </c>
    </row>
    <row r="32">
      <c r="A32" s="55" t="inlineStr">
        <is>
          <t>Assumption</t>
        </is>
      </c>
      <c r="B32" s="55" t="inlineStr">
        <is>
          <t>Low</t>
        </is>
      </c>
      <c r="C32" s="55" t="inlineStr">
        <is>
          <t>Reduction</t>
        </is>
      </c>
      <c r="D32" s="55" t="inlineStr">
        <is>
          <t>Base</t>
        </is>
      </c>
      <c r="E32" s="55" t="inlineStr">
        <is>
          <t>Reduction</t>
        </is>
      </c>
      <c r="F32" s="55" t="inlineStr">
        <is>
          <t>High</t>
        </is>
      </c>
      <c r="G32" s="55" t="inlineStr">
        <is>
          <t>Reduction</t>
        </is>
      </c>
    </row>
    <row r="33">
      <c r="A33" s="3" t="inlineStr">
        <is>
          <t>AI camera coverage of defect modes</t>
        </is>
      </c>
      <c r="B33" s="20" t="n">
        <v>0.5</v>
      </c>
      <c r="C33" s="64" t="n">
        <v>0.8247043005741556</v>
      </c>
      <c r="D33" s="20" t="n">
        <v>0.7</v>
      </c>
      <c r="E33" s="64" t="n">
        <v>0.8468422609923756</v>
      </c>
      <c r="F33" s="20" t="n">
        <v>0.9</v>
      </c>
      <c r="G33" s="64" t="n">
        <v>0.8667088181512177</v>
      </c>
    </row>
    <row r="34">
      <c r="A34" s="3" t="inlineStr">
        <is>
          <t>Drift defect rate</t>
        </is>
      </c>
      <c r="B34" s="20" t="n">
        <v>0.1</v>
      </c>
      <c r="C34" s="64" t="n">
        <v>0.8026017993273447</v>
      </c>
      <c r="D34" s="20" t="n">
        <v>0.25</v>
      </c>
      <c r="E34" s="64" t="n">
        <v>0.8479906256107048</v>
      </c>
      <c r="F34" s="20" t="n">
        <v>0.4</v>
      </c>
      <c r="G34" s="64" t="n">
        <v>0.8649243431242232</v>
      </c>
    </row>
    <row r="35">
      <c r="A35" s="3" t="inlineStr">
        <is>
          <t>Units between drift events</t>
        </is>
      </c>
      <c r="B35" s="63" t="n">
        <v>2500</v>
      </c>
      <c r="C35" s="64" t="n">
        <v>0.8634074536698797</v>
      </c>
      <c r="D35" s="63" t="n">
        <v>5000</v>
      </c>
      <c r="E35" s="64" t="n">
        <v>0.8582510378017658</v>
      </c>
      <c r="F35" s="63" t="n">
        <v>10000</v>
      </c>
      <c r="G35" s="64" t="n">
        <v>0.8336816505910225</v>
      </c>
    </row>
    <row r="36">
      <c r="A36" s="3" t="inlineStr">
        <is>
          <t>Late-found scrap share</t>
        </is>
      </c>
      <c r="B36" s="20" t="n">
        <v>0.15</v>
      </c>
      <c r="C36" s="64" t="n">
        <v>0.8314626883200975</v>
      </c>
      <c r="D36" s="20" t="n">
        <v>0.3</v>
      </c>
      <c r="E36" s="64" t="n">
        <v>0.8538779573335564</v>
      </c>
      <c r="F36" s="20" t="n">
        <v>0.5</v>
      </c>
      <c r="G36" s="64" t="n">
        <v>0.8501771115300518</v>
      </c>
    </row>
    <row r="37">
      <c r="A37" s="3" t="inlineStr">
        <is>
          <t>Units from sealer to today's inspection</t>
        </is>
      </c>
      <c r="B37" s="63" t="n">
        <v>100</v>
      </c>
      <c r="C37" s="64" t="n">
        <v>0.8111230466252334</v>
      </c>
      <c r="D37" s="63" t="n">
        <v>300</v>
      </c>
      <c r="E37" s="64" t="n">
        <v>0.8492533988756621</v>
      </c>
      <c r="F37" s="63" t="n">
        <v>600</v>
      </c>
      <c r="G37" s="64" t="n">
        <v>0.8737976071910339</v>
      </c>
    </row>
    <row r="38">
      <c r="A38" s="3" t="inlineStr">
        <is>
          <t>Lowest scrap reduction across all tested cases: 80%. The mechanism holds even with pessimistic process assumptions.</t>
        </is>
      </c>
    </row>
    <row r="40">
      <c r="A40" s="3" t="inlineStr">
        <is>
          <t>People test: how much value is lost when operators dismiss alerts?</t>
        </is>
      </c>
    </row>
    <row r="41">
      <c r="A41" s="55" t="inlineStr">
        <is>
          <t>Share of drift episodes where alerts are dismissed</t>
        </is>
      </c>
      <c r="B41" s="55" t="inlineStr">
        <is>
          <t>Scrap reduction vs today</t>
        </is>
      </c>
    </row>
    <row r="42">
      <c r="A42" s="20" t="n">
        <v>0</v>
      </c>
      <c r="B42" s="64" t="n">
        <v>0.9392930243154951</v>
      </c>
    </row>
    <row r="43">
      <c r="A43" s="20" t="n">
        <v>0.1</v>
      </c>
      <c r="B43" s="64" t="n">
        <v>0.8445760803926541</v>
      </c>
    </row>
    <row r="44">
      <c r="A44" s="20" t="n">
        <v>0.2</v>
      </c>
      <c r="B44" s="64" t="n">
        <v>0.7497194978398884</v>
      </c>
    </row>
    <row r="45">
      <c r="A45" s="20" t="n">
        <v>0.31</v>
      </c>
      <c r="B45" s="64" t="n">
        <v>0.6431060163426193</v>
      </c>
    </row>
    <row r="46">
      <c r="A46" s="20" t="n">
        <v>0.5</v>
      </c>
      <c r="B46" s="64" t="n">
        <v>0.4964125733562145</v>
      </c>
    </row>
    <row r="47" ht="28" customHeight="1">
      <c r="A47" s="62" t="inlineStr">
        <is>
          <t>Exhibit 6B says 31% of operators frequently override alerts today. This chart is the quantified case for the people part of the idea.</t>
        </is>
      </c>
    </row>
    <row r="49">
      <c r="A49" s="3" t="inlineStr">
        <is>
          <t>TEST 2. Is the business case robust? Financial Monte Carlo (10,000 runs, mirrors the Model tab incl. pilot-light phasing)</t>
        </is>
      </c>
    </row>
    <row r="50">
      <c r="A50" s="55" t="inlineStr">
        <is>
          <t>Metric</t>
        </is>
      </c>
      <c r="B50" s="55" t="inlineStr">
        <is>
          <t>Value</t>
        </is>
      </c>
      <c r="C50" s="55" t="inlineStr">
        <is>
          <t>Note</t>
        </is>
      </c>
    </row>
    <row r="51">
      <c r="A51" s="3" t="inlineStr">
        <is>
          <t>Deterministic base NPV (check vs Model tab)</t>
        </is>
      </c>
      <c r="B51" s="65" t="n">
        <v>27.01403870465879</v>
      </c>
      <c r="C51" s="54" t="inlineStr">
        <is>
          <t>Should match Dashboard base NPV</t>
        </is>
      </c>
    </row>
    <row r="52">
      <c r="A52" s="3" t="inlineStr">
        <is>
          <t>Mean NPV</t>
        </is>
      </c>
      <c r="B52" s="65" t="n">
        <v>11.82360761131173</v>
      </c>
      <c r="C52" s="54" t="inlineStr">
        <is>
          <t>Rp billion</t>
        </is>
      </c>
    </row>
    <row r="53">
      <c r="A53" s="3" t="inlineStr">
        <is>
          <t>P5 NPV (bad case)</t>
        </is>
      </c>
      <c r="B53" s="65" t="n">
        <v>-19.41291040060244</v>
      </c>
      <c r="C53" s="54" t="inlineStr">
        <is>
          <t>1-in-20 downside</t>
        </is>
      </c>
    </row>
    <row r="54">
      <c r="A54" s="3" t="inlineStr">
        <is>
          <t>Median NPV</t>
        </is>
      </c>
      <c r="B54" s="65" t="n">
        <v>11.7084469092985</v>
      </c>
      <c r="C54" s="54" t="inlineStr"/>
    </row>
    <row r="55">
      <c r="A55" s="3" t="inlineStr">
        <is>
          <t>P95 NPV (good case)</t>
        </is>
      </c>
      <c r="B55" s="65" t="n">
        <v>43.10332192077205</v>
      </c>
      <c r="C55" s="54" t="inlineStr"/>
    </row>
    <row r="56">
      <c r="A56" s="3" t="inlineStr">
        <is>
          <t>Probability NPV &gt; 0</t>
        </is>
      </c>
      <c r="B56" s="64" t="n">
        <v>0.7311</v>
      </c>
      <c r="C56" s="54" t="inlineStr">
        <is>
          <t>Headline for the financial slide</t>
        </is>
      </c>
    </row>
    <row r="57">
      <c r="A57" s="3" t="inlineStr">
        <is>
          <t>Median full run-rate savings (Rp B/yr)</t>
        </is>
      </c>
      <c r="B57" s="65" t="n">
        <v>49.0844126012166</v>
      </c>
      <c r="C57" s="54" t="inlineStr"/>
    </row>
    <row r="58">
      <c r="A58" s="3" t="inlineStr">
        <is>
          <t>Median run-rate as % of conversion cost</t>
        </is>
      </c>
      <c r="B58" s="64" t="n">
        <v>0.08765073678788678</v>
      </c>
      <c r="C58" s="54" t="inlineStr">
        <is>
          <t>vs 16% gap to benchmark</t>
        </is>
      </c>
    </row>
    <row r="60">
      <c r="A60" s="3" t="inlineStr">
        <is>
          <t>TEST 2b. How should the roadmap spend the money? Same 10,000 runs, five strategies (gate = stop scaling if 2027 pilot adoption &lt; 80%; happens in 25% of runs)</t>
        </is>
      </c>
    </row>
    <row r="61">
      <c r="A61" s="55" t="inlineStr">
        <is>
          <t>Strategy</t>
        </is>
      </c>
      <c r="B61" s="55" t="inlineStr">
        <is>
          <t>Mean NPV</t>
        </is>
      </c>
      <c r="C61" s="55" t="inlineStr">
        <is>
          <t>P5 NPV</t>
        </is>
      </c>
      <c r="D61" s="55" t="inlineStr">
        <is>
          <t>Median NPV</t>
        </is>
      </c>
      <c r="E61" s="55" t="inlineStr">
        <is>
          <t>P95 NPV</t>
        </is>
      </c>
      <c r="F61" s="55" t="inlineStr">
        <is>
          <t>P(NPV &gt; 0)</t>
        </is>
      </c>
    </row>
    <row r="62">
      <c r="A62" s="66" t="inlineStr">
        <is>
          <t>A. Front-loaded phasing, no gate</t>
        </is>
      </c>
      <c r="B62" s="67" t="n">
        <v>-0.191332294676973</v>
      </c>
      <c r="C62" s="67" t="n">
        <v>-32.83255089311962</v>
      </c>
      <c r="D62" s="67" t="n">
        <v>-0.3737217276611755</v>
      </c>
      <c r="E62" s="67" t="n">
        <v>32.5044161216826</v>
      </c>
      <c r="F62" s="58" t="n">
        <v>0.4925</v>
      </c>
    </row>
    <row r="63">
      <c r="A63" s="66" t="inlineStr">
        <is>
          <t>B. Front-loaded phasing + gate (65% already spent)</t>
        </is>
      </c>
      <c r="B63" s="67" t="n">
        <v>-3.79967892697686</v>
      </c>
      <c r="C63" s="67" t="n">
        <v>-39.74590657971964</v>
      </c>
      <c r="D63" s="67" t="n">
        <v>-2.962350007986172</v>
      </c>
      <c r="E63" s="67" t="n">
        <v>32.40194504032392</v>
      </c>
      <c r="F63" s="58" t="n">
        <v>0.4518</v>
      </c>
    </row>
    <row r="64">
      <c r="A64" s="66" t="inlineStr">
        <is>
          <t>C. Pilot-light phasing, no gate (as in Model tab)</t>
        </is>
      </c>
      <c r="B64" s="67" t="n">
        <v>11.82360761131173</v>
      </c>
      <c r="C64" s="67" t="n">
        <v>-19.41291040060244</v>
      </c>
      <c r="D64" s="67" t="n">
        <v>11.7084469092985</v>
      </c>
      <c r="E64" s="67" t="n">
        <v>43.10332192077205</v>
      </c>
      <c r="F64" s="58" t="n">
        <v>0.7311</v>
      </c>
    </row>
    <row r="65">
      <c r="A65" s="68" t="inlineStr">
        <is>
          <t>D. Pilot-light phasing + gate</t>
        </is>
      </c>
      <c r="B65" s="69" t="n">
        <v>15.05090030021514</v>
      </c>
      <c r="C65" s="69" t="n">
        <v>-8.411626796801812</v>
      </c>
      <c r="D65" s="69" t="n">
        <v>13.32040175184729</v>
      </c>
      <c r="E65" s="69" t="n">
        <v>43.06772269056702</v>
      </c>
      <c r="F65" s="61" t="n">
        <v>0.8595</v>
      </c>
    </row>
    <row r="66">
      <c r="A66" s="66" t="inlineStr">
        <is>
          <t>E. D + remaining equipment life valued at book</t>
        </is>
      </c>
      <c r="B66" s="67" t="n">
        <v>36.01053481960803</v>
      </c>
      <c r="C66" s="67" t="n">
        <v>6.476777490438207</v>
      </c>
      <c r="D66" s="67" t="n">
        <v>36.96085240343595</v>
      </c>
      <c r="E66" s="67" t="n">
        <v>67.48368978517901</v>
      </c>
      <c r="F66" s="58" t="n">
        <v>0.9938</v>
      </c>
    </row>
    <row r="67">
      <c r="A67" s="66" t="inlineStr">
        <is>
          <t>F. D but savings ramp one year slower (stress test)</t>
        </is>
      </c>
      <c r="B67" s="67" t="n">
        <v>-7.534233621168762</v>
      </c>
      <c r="C67" s="67" t="n">
        <v>-31.89940806088983</v>
      </c>
      <c r="D67" s="67" t="n">
        <v>-5.542507323532465</v>
      </c>
      <c r="E67" s="67" t="n">
        <v>12.32550108470081</v>
      </c>
      <c r="F67" s="58" t="n">
        <v>0.3242</v>
      </c>
    </row>
    <row r="68">
      <c r="A68" s="66" t="inlineStr">
        <is>
          <t>G. F + remaining equipment life valued at book</t>
        </is>
      </c>
      <c r="B68" s="67" t="n">
        <v>13.42540089822414</v>
      </c>
      <c r="C68" s="67" t="n">
        <v>-3.778779125254701</v>
      </c>
      <c r="D68" s="67" t="n">
        <v>11.92716410770895</v>
      </c>
      <c r="E68" s="67" t="n">
        <v>35.1241416528562</v>
      </c>
      <c r="F68" s="58" t="n">
        <v>0.879</v>
      </c>
    </row>
    <row r="69" ht="30" customHeight="1">
      <c r="A69" s="62" t="inlineStr">
        <is>
          <t>Pilot-light phasing: 10% / 15% / 40% / 25% / 10% of capex in 2026-2030. Ramp-up kept the same to isolate the effect of phasing; if scaling later also delays savings, the gain is smaller.</t>
        </is>
      </c>
    </row>
    <row r="70" ht="58" customHeight="1">
      <c r="A70" s="9" t="inlineStr">
        <is>
          <t>Reading: a gate only protects value if little money is spent before it. Gate after heavy spending (B) destroys value; pilot-light + gate (D) is the design to defend in SQ3. Valuing equipment life beyond 2030 (E) is legitimate but state it openly. Stress test (F): if savings arrive a year late, P(NPV&gt;0) falls to 32% (88% if remaining equipment life is valued, G). Speed of the pilot is the make-or-break factor: quick wins in 2026-27 belong in the roadmap.</t>
        </is>
      </c>
    </row>
    <row r="71" ht="45" customHeight="1">
      <c r="A71" s="62" t="inlineStr">
        <is>
          <t>Ranges used (triangular low / mode / high): scrap 20/35/50%, maintenance 5/10/15%, NVA 15/30/45%, energy 2/5/8%, variant cost 20/35/50%, investment 60/80/110, running 8/9/12%, training 2/2.5/3, variant projects 2/3/5, cost per project 5/10/15, cash realization 30/50/70%, adoption 60/100/100%, labor share 35/40/45%.</t>
        </is>
      </c>
    </row>
    <row r="73">
      <c r="A73" s="3" t="inlineStr">
        <is>
          <t>NPV distribution (histogram)</t>
        </is>
      </c>
    </row>
    <row r="74">
      <c r="A74" s="55" t="inlineStr">
        <is>
          <t>NPV bin from (Rp B)</t>
        </is>
      </c>
      <c r="B74" s="55" t="inlineStr">
        <is>
          <t>Runs</t>
        </is>
      </c>
    </row>
    <row r="75">
      <c r="A75" s="65" t="n">
        <v>-51.6</v>
      </c>
      <c r="B75" s="70" t="n">
        <v>11</v>
      </c>
    </row>
    <row r="76">
      <c r="A76" s="65" t="n">
        <v>-41.6</v>
      </c>
      <c r="B76" s="70" t="n">
        <v>73</v>
      </c>
    </row>
    <row r="77">
      <c r="A77" s="65" t="n">
        <v>-31.5</v>
      </c>
      <c r="B77" s="70" t="n">
        <v>294</v>
      </c>
    </row>
    <row r="78">
      <c r="A78" s="65" t="n">
        <v>-21.5</v>
      </c>
      <c r="B78" s="70" t="n">
        <v>700</v>
      </c>
    </row>
    <row r="79">
      <c r="A79" s="65" t="n">
        <v>-11.5</v>
      </c>
      <c r="B79" s="70" t="n">
        <v>1367</v>
      </c>
    </row>
    <row r="80">
      <c r="A80" s="65" t="n">
        <v>-1.4</v>
      </c>
      <c r="B80" s="70" t="n">
        <v>1920</v>
      </c>
    </row>
    <row r="81">
      <c r="A81" s="65" t="n">
        <v>8.6</v>
      </c>
      <c r="B81" s="70" t="n">
        <v>2028</v>
      </c>
    </row>
    <row r="82">
      <c r="A82" s="65" t="n">
        <v>18.6</v>
      </c>
      <c r="B82" s="70" t="n">
        <v>1753</v>
      </c>
    </row>
    <row r="83">
      <c r="A83" s="65" t="n">
        <v>28.6</v>
      </c>
      <c r="B83" s="70" t="n">
        <v>1056</v>
      </c>
    </row>
    <row r="84">
      <c r="A84" s="65" t="n">
        <v>38.7</v>
      </c>
      <c r="B84" s="70" t="n">
        <v>560</v>
      </c>
    </row>
    <row r="85">
      <c r="A85" s="65" t="n">
        <v>48.7</v>
      </c>
      <c r="B85" s="70" t="n">
        <v>182</v>
      </c>
    </row>
    <row r="86">
      <c r="A86" s="65" t="n">
        <v>58.7</v>
      </c>
      <c r="B86" s="70" t="n">
        <v>43</v>
      </c>
    </row>
    <row r="87">
      <c r="A87" s="65" t="n">
        <v>68.8</v>
      </c>
      <c r="B87" s="70" t="n">
        <v>10</v>
      </c>
    </row>
    <row r="88">
      <c r="A88" s="65" t="n">
        <v>78.8</v>
      </c>
      <c r="B88" s="70" t="n">
        <v>2</v>
      </c>
    </row>
    <row r="89">
      <c r="A89" s="65" t="n">
        <v>88.8</v>
      </c>
      <c r="B89" s="70" t="n">
        <v>0</v>
      </c>
    </row>
    <row r="90">
      <c r="A90" s="65" t="n">
        <v>98.90000000000001</v>
      </c>
      <c r="B90" s="70" t="n">
        <v>1</v>
      </c>
    </row>
    <row r="92">
      <c r="A92" s="3" t="inlineStr">
        <is>
          <t>TEST 3. Which assumption matters most? Tornado (base case, one at a time)</t>
        </is>
      </c>
    </row>
    <row r="93">
      <c r="A93" s="55" t="inlineStr">
        <is>
          <t>Driver</t>
        </is>
      </c>
      <c r="B93" s="55" t="inlineStr">
        <is>
          <t>Low input</t>
        </is>
      </c>
      <c r="C93" s="55" t="inlineStr">
        <is>
          <t>High input</t>
        </is>
      </c>
      <c r="D93" s="55" t="inlineStr">
        <is>
          <t>NPV at low</t>
        </is>
      </c>
      <c r="E93" s="55" t="inlineStr">
        <is>
          <t>NPV at high</t>
        </is>
      </c>
      <c r="F93" s="55" t="inlineStr">
        <is>
          <t>Swing</t>
        </is>
      </c>
    </row>
    <row r="94">
      <c r="A94" s="71" t="inlineStr">
        <is>
          <t>Investment (Rp B)</t>
        </is>
      </c>
      <c r="B94" s="72" t="n">
        <v>110</v>
      </c>
      <c r="C94" s="72" t="n">
        <v>60</v>
      </c>
      <c r="D94" s="67" t="n">
        <v>-1.497910926203485</v>
      </c>
      <c r="E94" s="67" t="n">
        <v>46.02200512523363</v>
      </c>
      <c r="F94" s="67" t="n">
        <v>47.51991605143711</v>
      </c>
    </row>
    <row r="95">
      <c r="A95" s="71" t="inlineStr">
        <is>
          <t>Adoption achieved</t>
        </is>
      </c>
      <c r="B95" s="58" t="n">
        <v>0.6</v>
      </c>
      <c r="C95" s="72" t="n">
        <v>1</v>
      </c>
      <c r="D95" s="67" t="n">
        <v>-17.99510981953292</v>
      </c>
      <c r="E95" s="67" t="n">
        <v>27.01403870465879</v>
      </c>
      <c r="F95" s="67" t="n">
        <v>45.00914852419172</v>
      </c>
    </row>
    <row r="96">
      <c r="A96" s="71" t="inlineStr">
        <is>
          <t>Scrap reduction</t>
        </is>
      </c>
      <c r="B96" s="58" t="n">
        <v>0.2</v>
      </c>
      <c r="C96" s="58" t="n">
        <v>0.5</v>
      </c>
      <c r="D96" s="67" t="n">
        <v>7.376539348554191</v>
      </c>
      <c r="E96" s="67" t="n">
        <v>46.65153806076337</v>
      </c>
      <c r="F96" s="67" t="n">
        <v>39.27499871220918</v>
      </c>
    </row>
    <row r="97">
      <c r="A97" s="71" t="inlineStr">
        <is>
          <t>Variant projects / yr</t>
        </is>
      </c>
      <c r="B97" s="72" t="n">
        <v>2</v>
      </c>
      <c r="C97" s="72" t="n">
        <v>5</v>
      </c>
      <c r="D97" s="67" t="n">
        <v>18.83174730628188</v>
      </c>
      <c r="E97" s="67" t="n">
        <v>43.37862150141261</v>
      </c>
      <c r="F97" s="67" t="n">
        <v>24.54687419513073</v>
      </c>
    </row>
    <row r="98">
      <c r="A98" s="71" t="inlineStr">
        <is>
          <t>Cost per variant project</t>
        </is>
      </c>
      <c r="B98" s="72" t="n">
        <v>5</v>
      </c>
      <c r="C98" s="72" t="n">
        <v>15</v>
      </c>
      <c r="D98" s="67" t="n">
        <v>14.74060160709343</v>
      </c>
      <c r="E98" s="67" t="n">
        <v>39.28747580222415</v>
      </c>
      <c r="F98" s="67" t="n">
        <v>24.54687419513073</v>
      </c>
    </row>
    <row r="99">
      <c r="A99" s="71" t="inlineStr">
        <is>
          <t>Variant cost reduction</t>
        </is>
      </c>
      <c r="B99" s="58" t="n">
        <v>0.2</v>
      </c>
      <c r="C99" s="58" t="n">
        <v>0.5</v>
      </c>
      <c r="D99" s="67" t="n">
        <v>16.49394976388848</v>
      </c>
      <c r="E99" s="67" t="n">
        <v>37.5341276454291</v>
      </c>
      <c r="F99" s="67" t="n">
        <v>21.04017788154063</v>
      </c>
    </row>
    <row r="100">
      <c r="A100" s="71" t="inlineStr">
        <is>
          <t>Operator NVA eliminated</t>
        </is>
      </c>
      <c r="B100" s="58" t="n">
        <v>0.15</v>
      </c>
      <c r="C100" s="58" t="n">
        <v>0.45</v>
      </c>
      <c r="D100" s="67" t="n">
        <v>18.37353898797276</v>
      </c>
      <c r="E100" s="67" t="n">
        <v>35.6545384213448</v>
      </c>
      <c r="F100" s="67" t="n">
        <v>17.28099943337204</v>
      </c>
    </row>
    <row r="101">
      <c r="A101" s="71" t="inlineStr">
        <is>
          <t>Maintenance reduction</t>
        </is>
      </c>
      <c r="B101" s="58" t="n">
        <v>0.05</v>
      </c>
      <c r="C101" s="58" t="n">
        <v>0.15</v>
      </c>
      <c r="D101" s="67" t="n">
        <v>18.50445565034678</v>
      </c>
      <c r="E101" s="67" t="n">
        <v>35.52362175897076</v>
      </c>
      <c r="F101" s="67" t="n">
        <v>17.01916610862397</v>
      </c>
    </row>
    <row r="102">
      <c r="A102" s="71" t="inlineStr">
        <is>
          <t>Energy reduction</t>
        </is>
      </c>
      <c r="B102" s="58" t="n">
        <v>0.02</v>
      </c>
      <c r="C102" s="58" t="n">
        <v>0.08</v>
      </c>
      <c r="D102" s="67" t="n">
        <v>22.30103885919367</v>
      </c>
      <c r="E102" s="67" t="n">
        <v>31.72703855012389</v>
      </c>
      <c r="F102" s="67" t="n">
        <v>9.425999690930212</v>
      </c>
    </row>
    <row r="103">
      <c r="A103" s="71" t="inlineStr">
        <is>
          <t>Running cost %</t>
        </is>
      </c>
      <c r="B103" s="58" t="n">
        <v>0.12</v>
      </c>
      <c r="C103" s="58" t="n">
        <v>0.08</v>
      </c>
      <c r="D103" s="67" t="n">
        <v>23.77962476124955</v>
      </c>
      <c r="E103" s="67" t="n">
        <v>30.24845264806801</v>
      </c>
      <c r="F103" s="67" t="n">
        <v>6.468827886818463</v>
      </c>
    </row>
    <row r="104">
      <c r="A104" s="3" t="inlineStr">
        <is>
          <t>Use the top 2-3 drivers as the assumptions you defend hardest in Q&amp;A, and as the KPIs you track first in the pilot.</t>
        </is>
      </c>
    </row>
  </sheetData>
  <pageMargins left="0.75" right="0.75" top="1" bottom="1" header="0.5" footer="0.5"/>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G72"/>
  <sheetViews>
    <sheetView workbookViewId="0">
      <selection activeCell="A1" sqref="A1"/>
    </sheetView>
  </sheetViews>
  <sheetFormatPr baseColWidth="8" defaultRowHeight="15"/>
  <cols>
    <col width="52" customWidth="1" min="1" max="1"/>
    <col width="13" customWidth="1" min="2" max="2"/>
    <col width="15" customWidth="1" min="3" max="3"/>
    <col width="55" customWidth="1" min="4" max="4"/>
    <col width="11" customWidth="1" min="5" max="5"/>
    <col width="9" customWidth="1" min="6" max="6"/>
    <col width="10" customWidth="1" min="7" max="7"/>
  </cols>
  <sheetData>
    <row r="1">
      <c r="A1" s="1" t="inlineStr">
        <is>
          <t>Case exhibits, re-typed (verify red cells against the PDF)</t>
        </is>
      </c>
    </row>
    <row r="3">
      <c r="A3" s="3" t="inlineStr">
        <is>
          <t>Exhibit 1. National car sales (units)</t>
        </is>
      </c>
    </row>
    <row r="4">
      <c r="A4" s="8" t="inlineStr">
        <is>
          <t>Metric</t>
        </is>
      </c>
      <c r="B4" s="8" t="inlineStr">
        <is>
          <t>2024</t>
        </is>
      </c>
      <c r="C4" s="8" t="inlineStr">
        <is>
          <t>2025</t>
        </is>
      </c>
      <c r="D4" s="8" t="inlineStr">
        <is>
          <t>Change</t>
        </is>
      </c>
    </row>
    <row r="5">
      <c r="A5" s="2" t="inlineStr">
        <is>
          <t>Wholesales</t>
        </is>
      </c>
      <c r="B5" s="73" t="n">
        <v>865723</v>
      </c>
      <c r="C5" s="73" t="n">
        <v>803687</v>
      </c>
      <c r="D5" s="28">
        <f>C5/B5-1</f>
        <v/>
      </c>
    </row>
    <row r="6">
      <c r="A6" s="2" t="inlineStr">
        <is>
          <t>Retail sales</t>
        </is>
      </c>
      <c r="B6" s="73" t="n">
        <v>889680</v>
      </c>
      <c r="C6" s="73" t="n">
        <v>833692</v>
      </c>
      <c r="D6" s="28">
        <f>C6/B6-1</f>
        <v/>
      </c>
    </row>
    <row r="8">
      <c r="A8" s="3" t="inlineStr">
        <is>
          <t>Exhibit 3. Conversion cost index, Karawang (TMMIN 2023 = 100)</t>
        </is>
      </c>
    </row>
    <row r="9">
      <c r="A9" s="8" t="inlineStr">
        <is>
          <t>Year</t>
        </is>
      </c>
      <c r="B9" s="8" t="inlineStr">
        <is>
          <t>TMMIN</t>
        </is>
      </c>
      <c r="C9" s="8" t="inlineStr">
        <is>
          <t>New-player benchmark</t>
        </is>
      </c>
      <c r="D9" s="8" t="inlineStr">
        <is>
          <t>TMMIN vs benchmark</t>
        </is>
      </c>
    </row>
    <row r="10">
      <c r="A10" s="2" t="inlineStr">
        <is>
          <t>2023</t>
        </is>
      </c>
      <c r="B10" s="4" t="n">
        <v>100</v>
      </c>
      <c r="C10" s="4" t="n">
        <v>94</v>
      </c>
      <c r="D10" s="28">
        <f>B10/C10-1</f>
        <v/>
      </c>
    </row>
    <row r="11">
      <c r="A11" s="2" t="inlineStr">
        <is>
          <t>2024</t>
        </is>
      </c>
      <c r="B11" s="4" t="n">
        <v>103</v>
      </c>
      <c r="C11" s="4" t="n">
        <v>91</v>
      </c>
      <c r="D11" s="28">
        <f>B11/C11-1</f>
        <v/>
      </c>
    </row>
    <row r="12">
      <c r="A12" s="2" t="inlineStr">
        <is>
          <t>2025</t>
        </is>
      </c>
      <c r="B12" s="4" t="n">
        <v>106</v>
      </c>
      <c r="C12" s="4" t="n">
        <v>89</v>
      </c>
      <c r="D12" s="28">
        <f>B12/C12-1</f>
        <v/>
      </c>
    </row>
    <row r="14">
      <c r="A14" s="3" t="inlineStr">
        <is>
          <t>Exhibit 4. Quality &amp; productivity baseline (index 2023 = 100 unless stated)</t>
        </is>
      </c>
    </row>
    <row r="15">
      <c r="A15" s="8" t="inlineStr">
        <is>
          <t>Metric</t>
        </is>
      </c>
      <c r="B15" s="8" t="inlineStr">
        <is>
          <t>2023</t>
        </is>
      </c>
      <c r="C15" s="8" t="inlineStr">
        <is>
          <t>2025</t>
        </is>
      </c>
      <c r="D15" s="8" t="inlineStr">
        <is>
          <t>Note</t>
        </is>
      </c>
    </row>
    <row r="16">
      <c r="A16" s="2" t="inlineStr">
        <is>
          <t>Scrap (index)</t>
        </is>
      </c>
      <c r="B16" s="4" t="n">
        <v>100</v>
      </c>
      <c r="C16" s="4" t="n">
        <v>108</v>
      </c>
      <c r="D16" s="11" t="inlineStr">
        <is>
          <t>Verified from casebook PDF</t>
        </is>
      </c>
    </row>
    <row r="17">
      <c r="A17" s="2" t="inlineStr">
        <is>
          <t>Unplanned downtime (index)</t>
        </is>
      </c>
      <c r="B17" s="4" t="n">
        <v>100</v>
      </c>
      <c r="C17" s="4" t="n">
        <v>111</v>
      </c>
      <c r="D17" s="11" t="inlineStr">
        <is>
          <t>Verified from casebook PDF</t>
        </is>
      </c>
    </row>
    <row r="18">
      <c r="A18" s="2" t="inlineStr">
        <is>
          <t>Defects escaping to downstream (index)</t>
        </is>
      </c>
      <c r="B18" s="4" t="n">
        <v>100</v>
      </c>
      <c r="C18" s="4" t="n">
        <v>103</v>
      </c>
      <c r="D18" s="11" t="inlineStr">
        <is>
          <t>Verified from casebook PDF</t>
        </is>
      </c>
    </row>
    <row r="19">
      <c r="A19" s="2" t="inlineStr">
        <is>
          <t>Operator non-value-added time (% hours)</t>
        </is>
      </c>
      <c r="B19" s="20" t="n">
        <v>0.2</v>
      </c>
      <c r="C19" s="20" t="n">
        <v>0.22</v>
      </c>
      <c r="D19" s="11" t="inlineStr">
        <is>
          <t>Verified from casebook PDF</t>
        </is>
      </c>
    </row>
    <row r="20">
      <c r="A20" s="2" t="inlineStr">
        <is>
          <t>Equipment modification time, new variant (months)</t>
        </is>
      </c>
      <c r="B20" s="4" t="n">
        <v>8</v>
      </c>
      <c r="C20" s="4" t="n">
        <v>9</v>
      </c>
      <c r="D20" s="11" t="inlineStr">
        <is>
          <t>Verified from casebook PDF</t>
        </is>
      </c>
    </row>
    <row r="22">
      <c r="A22" s="3" t="inlineStr">
        <is>
          <t>Exhibit 5. Automation maturity (1 manual, 2 semi-auto, 3 auto+integrated, 4 autonomous)</t>
        </is>
      </c>
    </row>
    <row r="23">
      <c r="A23" s="8" t="inlineStr">
        <is>
          <t>Process</t>
        </is>
      </c>
      <c r="B23" s="8" t="inlineStr">
        <is>
          <t>Level</t>
        </is>
      </c>
      <c r="C23" s="8" t="inlineStr">
        <is>
          <t>Gap to L4</t>
        </is>
      </c>
      <c r="D23" s="8" t="inlineStr">
        <is>
          <t>Key condition</t>
        </is>
      </c>
    </row>
    <row r="24">
      <c r="A24" s="2" t="inlineStr">
        <is>
          <t>Press shop</t>
        </is>
      </c>
      <c r="B24" s="4" t="n">
        <v>3</v>
      </c>
      <c r="C24" s="2">
        <f>4-B24</f>
        <v/>
      </c>
      <c r="D24" s="11" t="inlineStr">
        <is>
          <t>Die changes and panel quality checks rely on operators</t>
        </is>
      </c>
    </row>
    <row r="25">
      <c r="A25" s="2" t="inlineStr">
        <is>
          <t>Casting</t>
        </is>
      </c>
      <c r="B25" s="4" t="n">
        <v>2</v>
      </c>
      <c r="C25" s="2">
        <f>4-B25</f>
        <v/>
      </c>
      <c r="D25" s="11" t="inlineStr">
        <is>
          <t>Finishing, handling, inspection partly manual</t>
        </is>
      </c>
    </row>
    <row r="26">
      <c r="A26" s="2" t="inlineStr">
        <is>
          <t>Machining &amp; engine assembly</t>
        </is>
      </c>
      <c r="B26" s="4" t="n">
        <v>3</v>
      </c>
      <c r="C26" s="2">
        <f>4-B26</f>
        <v/>
      </c>
      <c r="D26" s="11" t="inlineStr">
        <is>
          <t>Assembly and inspection partly manual</t>
        </is>
      </c>
    </row>
    <row r="27">
      <c r="A27" s="2" t="inlineStr">
        <is>
          <t>Body welding: spot welding</t>
        </is>
      </c>
      <c r="B27" s="4" t="n">
        <v>3</v>
      </c>
      <c r="C27" s="2">
        <f>4-B27</f>
        <v/>
      </c>
      <c r="D27" s="11" t="inlineStr">
        <is>
          <t>Programmed robots integrated in line</t>
        </is>
      </c>
    </row>
    <row r="28">
      <c r="A28" s="2" t="inlineStr">
        <is>
          <t>Body welding: sealer application</t>
        </is>
      </c>
      <c r="B28" s="4" t="n">
        <v>2</v>
      </c>
      <c r="C28" s="2">
        <f>4-B28</f>
        <v/>
      </c>
      <c r="D28" s="11" t="inlineStr">
        <is>
          <t>Manual/semi-auto; no automatic quality feedback</t>
        </is>
      </c>
    </row>
    <row r="29">
      <c r="A29" s="2" t="inlineStr">
        <is>
          <t>Painting</t>
        </is>
      </c>
      <c r="B29" s="4" t="n">
        <v>3</v>
      </c>
      <c r="C29" s="2">
        <f>4-B29</f>
        <v/>
      </c>
      <c r="D29" s="11" t="inlineStr">
        <is>
          <t>Quality check and defect repair manual visual</t>
        </is>
      </c>
    </row>
    <row r="30">
      <c r="A30" s="2" t="inlineStr">
        <is>
          <t>Final assembly</t>
        </is>
      </c>
      <c r="B30" s="4" t="n">
        <v>2</v>
      </c>
      <c r="C30" s="2">
        <f>4-B30</f>
        <v/>
      </c>
      <c r="D30" s="11" t="inlineStr">
        <is>
          <t>Manual with tools; high variant mix handled by operators</t>
        </is>
      </c>
    </row>
    <row r="31">
      <c r="A31" s="2" t="inlineStr">
        <is>
          <t>Quality inspection</t>
        </is>
      </c>
      <c r="B31" s="4" t="n">
        <v>1</v>
      </c>
      <c r="C31" s="2">
        <f>4-B31</f>
        <v/>
      </c>
      <c r="D31" s="11" t="inlineStr">
        <is>
          <t>Manual visual; in-house AI camera (from CCTV) in validation to Oct 2026</t>
        </is>
      </c>
    </row>
    <row r="32">
      <c r="A32" s="2" t="inlineStr">
        <is>
          <t>Intralogistics</t>
        </is>
      </c>
      <c r="B32" s="4" t="n">
        <v>2</v>
      </c>
      <c r="C32" s="2">
        <f>4-B32</f>
        <v/>
      </c>
      <c r="D32" s="11" t="inlineStr">
        <is>
          <t>Manual forklifts/dollies; AGV/AMR pilots</t>
        </is>
      </c>
    </row>
    <row r="33">
      <c r="A33" s="2" t="inlineStr">
        <is>
          <t>Maintenance</t>
        </is>
      </c>
      <c r="B33" s="4" t="n">
        <v>2</v>
      </c>
      <c r="C33" s="2">
        <f>4-B33</f>
        <v/>
      </c>
      <c r="D33" s="11" t="inlineStr">
        <is>
          <t>Periodic preventive, not predictive</t>
        </is>
      </c>
    </row>
    <row r="34">
      <c r="A34" s="2" t="inlineStr">
        <is>
          <t>Equipment &amp; system integration</t>
        </is>
      </c>
      <c r="B34" s="4" t="n">
        <v>2</v>
      </c>
      <c r="C34" s="2">
        <f>4-B34</f>
        <v/>
      </c>
      <c r="D34" s="11" t="inlineStr">
        <is>
          <t>Point-to-point; no common interface standard</t>
        </is>
      </c>
    </row>
    <row r="35">
      <c r="A35" s="2" t="inlineStr">
        <is>
          <t>Data integration</t>
        </is>
      </c>
      <c r="B35" s="4" t="n">
        <v>1</v>
      </c>
      <c r="C35" s="2">
        <f>4-B35</f>
        <v/>
      </c>
      <c r="D35" s="11" t="inlineStr">
        <is>
          <t>Data scattered; equipment, quality, logistics not connected</t>
        </is>
      </c>
    </row>
    <row r="37">
      <c r="A37" s="3" t="inlineStr">
        <is>
          <t>Exhibit 6A. Engineering time, knowledge &amp; improvement (production engineering)</t>
        </is>
      </c>
    </row>
    <row r="38">
      <c r="A38" s="8" t="inlineStr">
        <is>
          <t>Metric</t>
        </is>
      </c>
      <c r="B38" s="8" t="inlineStr">
        <is>
          <t>2023</t>
        </is>
      </c>
      <c r="C38" s="8" t="inlineStr">
        <is>
          <t>2025</t>
        </is>
      </c>
      <c r="D38" s="8" t="inlineStr">
        <is>
          <t>Note</t>
        </is>
      </c>
    </row>
    <row r="39">
      <c r="A39" s="11" t="inlineStr">
        <is>
          <t>Engineer time on routine support &amp; troubleshooting (%)</t>
        </is>
      </c>
      <c r="B39" s="20" t="n">
        <v>0.62</v>
      </c>
      <c r="C39" s="20" t="n">
        <v>0.65</v>
      </c>
      <c r="D39" s="11" t="inlineStr">
        <is>
          <t>Verified; the remaining ~10% is other work</t>
        </is>
      </c>
    </row>
    <row r="40">
      <c r="A40" s="11" t="inlineStr">
        <is>
          <t>Engineer time on improvement &amp; new development (%)</t>
        </is>
      </c>
      <c r="B40" s="20" t="n">
        <v>0.28</v>
      </c>
      <c r="C40" s="20" t="n">
        <v>0.25</v>
      </c>
      <c r="D40" s="11" t="inlineStr"/>
    </row>
    <row r="41">
      <c r="A41" s="11" t="inlineStr">
        <is>
          <t>Critical know-how documented in shared form (%)</t>
        </is>
      </c>
      <c r="B41" s="20" t="n">
        <v>0.35</v>
      </c>
      <c r="C41" s="20" t="n">
        <v>0.33</v>
      </c>
      <c r="D41" s="11" t="inlineStr"/>
    </row>
    <row r="42">
      <c r="A42" s="11" t="inlineStr">
        <is>
          <t>Critical processes whose know-how rests with 1-2 seniors (%)</t>
        </is>
      </c>
      <c r="B42" s="20" t="n">
        <v>0.45</v>
      </c>
      <c r="C42" s="20" t="n">
        <v>0.48</v>
      </c>
      <c r="D42" s="11" t="inlineStr"/>
    </row>
    <row r="43">
      <c r="A43" s="11" t="inlineStr">
        <is>
          <t>Months for new engineer to work independently</t>
        </is>
      </c>
      <c r="B43" s="4" t="n">
        <v>14</v>
      </c>
      <c r="C43" s="4" t="n">
        <v>15</v>
      </c>
      <c r="D43" s="11" t="inlineStr"/>
    </row>
    <row r="44">
      <c r="A44" s="11" t="inlineStr">
        <is>
          <t>Improvement ideas per engineer per year</t>
        </is>
      </c>
      <c r="B44" s="4" t="n">
        <v>3.1</v>
      </c>
      <c r="C44" s="4" t="n">
        <v>2.4</v>
      </c>
      <c r="D44" s="11" t="inlineStr"/>
    </row>
    <row r="45">
      <c r="A45" s="11" t="inlineStr">
        <is>
          <t>Ideas implemented (% of submitted)</t>
        </is>
      </c>
      <c r="B45" s="20" t="n">
        <v>0.35</v>
      </c>
      <c r="C45" s="20" t="n">
        <v>0.28</v>
      </c>
      <c r="D45" s="11" t="inlineStr"/>
    </row>
    <row r="47">
      <c r="A47" s="3" t="inlineStr">
        <is>
          <t>Exhibit 6B. Operator &amp; team-leader perception, pilot area (2025, N = 120)</t>
        </is>
      </c>
    </row>
    <row r="48">
      <c r="A48" s="8" t="inlineStr">
        <is>
          <t>Indicator</t>
        </is>
      </c>
      <c r="B48" s="8" t="inlineStr">
        <is>
          <t>Share</t>
        </is>
      </c>
      <c r="C48" s="8" t="inlineStr"/>
      <c r="D48" s="8" t="inlineStr">
        <is>
          <t>So what</t>
        </is>
      </c>
    </row>
    <row r="49">
      <c r="A49" s="11" t="inlineStr">
        <is>
          <t>Say new tech helps rather than replaces their work</t>
        </is>
      </c>
      <c r="B49" s="20" t="n">
        <v>0.54</v>
      </c>
      <c r="D49" s="11" t="inlineStr">
        <is>
          <t>46% are not convinced: change management is a real risk</t>
        </is>
      </c>
    </row>
    <row r="50">
      <c r="A50" s="11" t="inlineStr">
        <is>
          <t>Have received training on data-driven tools</t>
        </is>
      </c>
      <c r="B50" s="20" t="n">
        <v>0.18</v>
      </c>
      <c r="D50" s="11" t="inlineStr">
        <is>
          <t>Training gap is the biggest adoption blocker</t>
        </is>
      </c>
    </row>
    <row r="51">
      <c r="A51" s="11" t="inlineStr">
        <is>
          <t>Frequently override or ignore automated alerts</t>
        </is>
      </c>
      <c r="B51" s="20" t="n">
        <v>0.31</v>
      </c>
      <c r="D51" s="11" t="inlineStr">
        <is>
          <t>Tech without trust = no value; design alerts with operators</t>
        </is>
      </c>
    </row>
    <row r="52">
      <c r="A52" s="11" t="inlineStr">
        <is>
          <t>Know-how shared mainly via informal on-the-job coaching</t>
        </is>
      </c>
      <c r="B52" s="20" t="n">
        <v>0.71</v>
      </c>
      <c r="D52" s="11" t="inlineStr">
        <is>
          <t>Supports knowledge-capture idea</t>
        </is>
      </c>
    </row>
    <row r="53">
      <c r="A53" s="11" t="inlineStr">
        <is>
          <t>Would contribute ideas if an easy channel existed</t>
        </is>
      </c>
      <c r="B53" s="20" t="n">
        <v>0.62</v>
      </c>
      <c r="D53" s="11" t="inlineStr">
        <is>
          <t>Latent kaizen energy: biggest people opportunity</t>
        </is>
      </c>
    </row>
    <row r="55">
      <c r="A55" s="3" t="inlineStr">
        <is>
          <t>Exhibit 7. Engineering competence (members per level, N = 30 per field)</t>
        </is>
      </c>
    </row>
    <row r="56">
      <c r="A56" s="8" t="inlineStr">
        <is>
          <t>Field</t>
        </is>
      </c>
      <c r="B56" s="8" t="inlineStr">
        <is>
          <t>L1 basic</t>
        </is>
      </c>
      <c r="C56" s="8" t="inlineStr">
        <is>
          <t>L2 intermediate</t>
        </is>
      </c>
      <c r="D56" s="8" t="inlineStr">
        <is>
          <t>L3 proficient</t>
        </is>
      </c>
      <c r="E56" s="8" t="inlineStr">
        <is>
          <t>L4 expert</t>
        </is>
      </c>
      <c r="F56" s="8" t="inlineStr">
        <is>
          <t>Total</t>
        </is>
      </c>
      <c r="G56" s="8" t="inlineStr">
        <is>
          <t>% at L3+</t>
        </is>
      </c>
    </row>
    <row r="57">
      <c r="A57" s="2" t="inlineStr">
        <is>
          <t>Mechanical</t>
        </is>
      </c>
      <c r="B57" s="4" t="n">
        <v>3</v>
      </c>
      <c r="C57" s="4" t="n">
        <v>8</v>
      </c>
      <c r="D57" s="4" t="n">
        <v>14</v>
      </c>
      <c r="E57" s="4" t="n">
        <v>5</v>
      </c>
      <c r="F57" s="2">
        <f>SUM(B57:E57)</f>
        <v/>
      </c>
      <c r="G57" s="28">
        <f>(D57+E57)/F57</f>
        <v/>
      </c>
    </row>
    <row r="58">
      <c r="A58" s="2" t="inlineStr">
        <is>
          <t>Electrical</t>
        </is>
      </c>
      <c r="B58" s="4" t="n">
        <v>5</v>
      </c>
      <c r="C58" s="4" t="n">
        <v>10</v>
      </c>
      <c r="D58" s="4" t="n">
        <v>11</v>
      </c>
      <c r="E58" s="4" t="n">
        <v>4</v>
      </c>
      <c r="F58" s="2">
        <f>SUM(B58:E58)</f>
        <v/>
      </c>
      <c r="G58" s="28">
        <f>(D58+E58)/F58</f>
        <v/>
      </c>
    </row>
    <row r="59">
      <c r="A59" s="2" t="inlineStr">
        <is>
          <t>PLC</t>
        </is>
      </c>
      <c r="B59" s="4" t="n">
        <v>7</v>
      </c>
      <c r="C59" s="4" t="n">
        <v>11</v>
      </c>
      <c r="D59" s="4" t="n">
        <v>9</v>
      </c>
      <c r="E59" s="4" t="n">
        <v>3</v>
      </c>
      <c r="F59" s="2">
        <f>SUM(B59:E59)</f>
        <v/>
      </c>
      <c r="G59" s="28">
        <f>(D59+E59)/F59</f>
        <v/>
      </c>
    </row>
    <row r="60">
      <c r="A60" s="2" t="inlineStr">
        <is>
          <t>Programming</t>
        </is>
      </c>
      <c r="B60" s="4" t="n">
        <v>14</v>
      </c>
      <c r="C60" s="4" t="n">
        <v>10</v>
      </c>
      <c r="D60" s="4" t="n">
        <v>5</v>
      </c>
      <c r="E60" s="4" t="n">
        <v>1</v>
      </c>
      <c r="F60" s="2">
        <f>SUM(B60:E60)</f>
        <v/>
      </c>
      <c r="G60" s="28">
        <f>(D60+E60)/F60</f>
        <v/>
      </c>
    </row>
    <row r="61">
      <c r="A61" s="2" t="inlineStr">
        <is>
          <t>Software &amp; AI</t>
        </is>
      </c>
      <c r="B61" s="4" t="n">
        <v>20</v>
      </c>
      <c r="C61" s="4" t="n">
        <v>8</v>
      </c>
      <c r="D61" s="4" t="n">
        <v>2</v>
      </c>
      <c r="E61" s="4" t="n">
        <v>0</v>
      </c>
      <c r="F61" s="2">
        <f>SUM(B61:E61)</f>
        <v/>
      </c>
      <c r="G61" s="28">
        <f>(D61+E61)/F61</f>
        <v/>
      </c>
    </row>
    <row r="62">
      <c r="A62" s="2" t="inlineStr">
        <is>
          <t>Verified from casebook PDF</t>
        </is>
      </c>
    </row>
    <row r="64">
      <c r="A64" s="3" t="inlineStr">
        <is>
          <t>Exhibit 8. Volume share by pathway (indicative)</t>
        </is>
      </c>
    </row>
    <row r="65">
      <c r="A65" s="8" t="inlineStr">
        <is>
          <t>Pathway</t>
        </is>
      </c>
      <c r="B65" s="8" t="inlineStr">
        <is>
          <t>2026</t>
        </is>
      </c>
      <c r="C65" s="8" t="inlineStr">
        <is>
          <t>2030 moderate</t>
        </is>
      </c>
      <c r="D65" s="8" t="inlineStr">
        <is>
          <t>2030 aggressive</t>
        </is>
      </c>
    </row>
    <row r="66">
      <c r="A66" s="2" t="inlineStr">
        <is>
          <t>Conventional (ICE)</t>
        </is>
      </c>
      <c r="B66" s="20" t="n">
        <v>0.7</v>
      </c>
      <c r="C66" s="20" t="n">
        <v>0.45</v>
      </c>
      <c r="D66" s="20" t="n">
        <v>0.3</v>
      </c>
    </row>
    <row r="67">
      <c r="A67" s="2" t="inlineStr">
        <is>
          <t>HEV</t>
        </is>
      </c>
      <c r="B67" s="20" t="n">
        <v>0.25</v>
      </c>
      <c r="C67" s="20" t="n">
        <v>0.38</v>
      </c>
      <c r="D67" s="20" t="n">
        <v>0.4</v>
      </c>
    </row>
    <row r="68">
      <c r="A68" s="2" t="inlineStr">
        <is>
          <t>PHEV</t>
        </is>
      </c>
      <c r="B68" s="20" t="n">
        <v>0.03</v>
      </c>
      <c r="C68" s="20" t="n">
        <v>0.07000000000000001</v>
      </c>
      <c r="D68" s="20" t="n">
        <v>0.1</v>
      </c>
    </row>
    <row r="69">
      <c r="A69" s="2" t="inlineStr">
        <is>
          <t>BEV</t>
        </is>
      </c>
      <c r="B69" s="20" t="n">
        <v>0.02</v>
      </c>
      <c r="C69" s="20" t="n">
        <v>0.1</v>
      </c>
      <c r="D69" s="20" t="n">
        <v>0.2</v>
      </c>
    </row>
    <row r="70">
      <c r="A70" s="3" t="inlineStr">
        <is>
          <t>Electrified share (HEV+PHEV+BEV)</t>
        </is>
      </c>
      <c r="B70" s="28">
        <f>SUM(B67:B69)</f>
        <v/>
      </c>
      <c r="C70" s="28">
        <f>SUM(C67:C69)</f>
        <v/>
      </c>
      <c r="D70" s="28">
        <f>SUM(D67:D69)</f>
        <v/>
      </c>
    </row>
    <row r="72">
      <c r="A72" s="3" t="inlineStr">
        <is>
          <t>Exhibit 9 parameters are in the Assumptions tab (rows 4-15).</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47"/>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50" customWidth="1" min="1" max="1"/>
    <col width="14" customWidth="1" min="2" max="2"/>
    <col width="14" customWidth="1" min="3" max="3"/>
    <col width="14" customWidth="1" min="4" max="4"/>
    <col width="46" customWidth="1" min="5" max="5"/>
    <col width="10" customWidth="1" min="6" max="6"/>
    <col width="60" customWidth="1" min="7" max="7"/>
  </cols>
  <sheetData>
    <row r="1">
      <c r="A1" s="1" t="inlineStr">
        <is>
          <t>Model inputs</t>
        </is>
      </c>
    </row>
    <row r="3">
      <c r="A3" s="8" t="inlineStr">
        <is>
          <t>Case parameter (Exhibit 9 / text)</t>
        </is>
      </c>
      <c r="B3" s="8" t="inlineStr">
        <is>
          <t>Value</t>
        </is>
      </c>
      <c r="C3" s="8" t="inlineStr">
        <is>
          <t>Unit</t>
        </is>
      </c>
      <c r="D3" s="8" t="inlineStr">
        <is>
          <t>Source / note</t>
        </is>
      </c>
    </row>
    <row r="4">
      <c r="A4" s="2" t="inlineStr">
        <is>
          <t>Installed capacity, Karawang I + II</t>
        </is>
      </c>
      <c r="B4" s="73" t="n">
        <v>250000</v>
      </c>
      <c r="C4" s="2" t="inlineStr">
        <is>
          <t>units/yr</t>
        </is>
      </c>
      <c r="D4" s="11" t="inlineStr">
        <is>
          <t>Exhibit 9</t>
        </is>
      </c>
    </row>
    <row r="5">
      <c r="A5" s="2" t="inlineStr">
        <is>
          <t>Capacity utilization 2025</t>
        </is>
      </c>
      <c r="B5" s="20" t="n">
        <v>0.7</v>
      </c>
      <c r="C5" s="2" t="inlineStr">
        <is>
          <t>%</t>
        </is>
      </c>
      <c r="D5" s="11" t="inlineStr">
        <is>
          <t>Exhibit 9</t>
        </is>
      </c>
    </row>
    <row r="6">
      <c r="A6" s="2" t="inlineStr">
        <is>
          <t>Production volume</t>
        </is>
      </c>
      <c r="B6" s="74">
        <f>B4*B5</f>
        <v/>
      </c>
      <c r="C6" s="2" t="inlineStr">
        <is>
          <t>units/yr</t>
        </is>
      </c>
      <c r="D6" s="11" t="inlineStr">
        <is>
          <t>Formula (case: ~175,000)</t>
        </is>
      </c>
    </row>
    <row r="7">
      <c r="A7" s="2" t="inlineStr">
        <is>
          <t>Conversion cost per unit 2025</t>
        </is>
      </c>
      <c r="B7" s="75" t="n">
        <v>3.2</v>
      </c>
      <c r="C7" s="2" t="inlineStr">
        <is>
          <t>Rp million</t>
        </is>
      </c>
      <c r="D7" s="11" t="inlineStr">
        <is>
          <t>Exhibit 9 (labor, energy, maintenance, depreciation, scrap)</t>
        </is>
      </c>
    </row>
    <row r="8">
      <c r="A8" s="2" t="inlineStr">
        <is>
          <t>Total annual conversion cost</t>
        </is>
      </c>
      <c r="B8" s="76">
        <f>B6*B7/1000</f>
        <v/>
      </c>
      <c r="C8" s="2" t="inlineStr">
        <is>
          <t>Rp billion</t>
        </is>
      </c>
      <c r="D8" s="11" t="inlineStr">
        <is>
          <t>Formula (case: ~Rp560B)</t>
        </is>
      </c>
    </row>
    <row r="9">
      <c r="A9" s="2" t="inlineStr">
        <is>
          <t>Discount rate</t>
        </is>
      </c>
      <c r="B9" s="20" t="n">
        <v>0.1</v>
      </c>
      <c r="C9" s="2" t="inlineStr">
        <is>
          <t>%/yr</t>
        </is>
      </c>
      <c r="D9" s="11" t="inlineStr">
        <is>
          <t>Exhibit 9</t>
        </is>
      </c>
    </row>
    <row r="10">
      <c r="A10" s="2" t="inlineStr">
        <is>
          <t>Labor &amp; energy cost escalation</t>
        </is>
      </c>
      <c r="B10" s="20" t="n">
        <v>0.04</v>
      </c>
      <c r="C10" s="2" t="inlineStr">
        <is>
          <t>%/yr</t>
        </is>
      </c>
      <c r="D10" s="11" t="inlineStr">
        <is>
          <t>Exhibit 9, applied to savings</t>
        </is>
      </c>
    </row>
    <row r="11">
      <c r="A11" s="2" t="inlineStr">
        <is>
          <t>Technology economic life</t>
        </is>
      </c>
      <c r="B11" s="4" t="n">
        <v>5</v>
      </c>
      <c r="C11" s="2" t="inlineStr">
        <is>
          <t>years</t>
        </is>
      </c>
      <c r="D11" s="11" t="inlineStr">
        <is>
          <t>Exhibit 9</t>
        </is>
      </c>
    </row>
    <row r="12">
      <c r="A12" s="2" t="inlineStr">
        <is>
          <t>TMMIN conversion cost index 2025</t>
        </is>
      </c>
      <c r="B12" s="4" t="n">
        <v>106</v>
      </c>
      <c r="C12" s="2" t="inlineStr">
        <is>
          <t>index</t>
        </is>
      </c>
      <c r="D12" s="11" t="inlineStr">
        <is>
          <t>Exhibit 3</t>
        </is>
      </c>
    </row>
    <row r="13">
      <c r="A13" s="2" t="inlineStr">
        <is>
          <t>New-player benchmark index 2025</t>
        </is>
      </c>
      <c r="B13" s="4" t="n">
        <v>89</v>
      </c>
      <c r="C13" s="2" t="inlineStr">
        <is>
          <t>index</t>
        </is>
      </c>
      <c r="D13" s="11" t="inlineStr">
        <is>
          <t>Exhibit 3</t>
        </is>
      </c>
    </row>
    <row r="14">
      <c r="A14" s="2" t="inlineStr">
        <is>
          <t>Operator non-value-added time</t>
        </is>
      </c>
      <c r="B14" s="20" t="n">
        <v>0.22</v>
      </c>
      <c r="C14" s="2" t="inlineStr">
        <is>
          <t>% hours</t>
        </is>
      </c>
      <c r="D14" s="11" t="inlineStr">
        <is>
          <t>Exhibit 4 / text</t>
        </is>
      </c>
    </row>
    <row r="15">
      <c r="A15" s="2" t="inlineStr">
        <is>
          <t>Equipment modification time per new variant</t>
        </is>
      </c>
      <c r="B15" s="4" t="n">
        <v>9</v>
      </c>
      <c r="C15" s="2" t="inlineStr">
        <is>
          <t>months</t>
        </is>
      </c>
      <c r="D15" s="11" t="inlineStr">
        <is>
          <t>Exhibit 4 / text</t>
        </is>
      </c>
    </row>
    <row r="17">
      <c r="A17" s="8" t="inlineStr">
        <is>
          <t>Conversion cost split (TEAM ASSUMPTION, case gives components only)</t>
        </is>
      </c>
      <c r="B17" s="8" t="inlineStr">
        <is>
          <t>Share</t>
        </is>
      </c>
      <c r="C17" s="8" t="inlineStr">
        <is>
          <t>Rp billion</t>
        </is>
      </c>
      <c r="D17" s="8" t="inlineStr">
        <is>
          <t>Justify with</t>
        </is>
      </c>
    </row>
    <row r="18">
      <c r="A18" s="2" t="inlineStr">
        <is>
          <t>Labor</t>
        </is>
      </c>
      <c r="B18" s="24" t="n">
        <v>0.4</v>
      </c>
      <c r="C18" s="76">
        <f>B18*$B$8</f>
        <v/>
      </c>
      <c r="D18" s="11" t="inlineStr">
        <is>
          <t>No public source splits conversion cost. Stated team assumption; Monte Carlo tests labor share 35-45% (Simulation tab). Ask organizers in clarification if allowed.</t>
        </is>
      </c>
    </row>
    <row r="19">
      <c r="A19" s="2" t="inlineStr">
        <is>
          <t>Energy</t>
        </is>
      </c>
      <c r="B19" s="24" t="n">
        <v>0.12</v>
      </c>
      <c r="C19" s="76">
        <f>B19*$B$8</f>
        <v/>
      </c>
      <c r="D19" s="11" t="inlineStr">
        <is>
          <t>No public source splits conversion cost. Stated team assumption; Monte Carlo tests labor share 35-45% (Simulation tab). Ask organizers in clarification if allowed.</t>
        </is>
      </c>
    </row>
    <row r="20">
      <c r="A20" s="2" t="inlineStr">
        <is>
          <t>Maintenance</t>
        </is>
      </c>
      <c r="B20" s="24" t="n">
        <v>0.13</v>
      </c>
      <c r="C20" s="76">
        <f>B20*$B$8</f>
        <v/>
      </c>
      <c r="D20" s="11" t="inlineStr">
        <is>
          <t>No public source splits conversion cost. Stated team assumption; Monte Carlo tests labor share 35-45% (Simulation tab). Ask organizers in clarification if allowed.</t>
        </is>
      </c>
    </row>
    <row r="21">
      <c r="A21" s="2" t="inlineStr">
        <is>
          <t>Depreciation</t>
        </is>
      </c>
      <c r="B21" s="24" t="n">
        <v>0.25</v>
      </c>
      <c r="C21" s="76">
        <f>B21*$B$8</f>
        <v/>
      </c>
      <c r="D21" s="11" t="inlineStr">
        <is>
          <t>No public source splits conversion cost. Stated team assumption; Monte Carlo tests labor share 35-45% (Simulation tab). Ask organizers in clarification if allowed.</t>
        </is>
      </c>
    </row>
    <row r="22">
      <c r="A22" s="2" t="inlineStr">
        <is>
          <t>Scrap</t>
        </is>
      </c>
      <c r="B22" s="24" t="n">
        <v>0.1</v>
      </c>
      <c r="C22" s="76">
        <f>B22*$B$8</f>
        <v/>
      </c>
      <c r="D22" s="11" t="inlineStr">
        <is>
          <t>No public source splits conversion cost. Stated team assumption; Monte Carlo tests labor share 35-45% (Simulation tab). Ask organizers in clarification if allowed.</t>
        </is>
      </c>
    </row>
    <row r="23">
      <c r="A23" s="3" t="inlineStr">
        <is>
          <t>Check (must be 100%)</t>
        </is>
      </c>
      <c r="B23" s="28">
        <f>SUM(B18:B22)</f>
        <v/>
      </c>
      <c r="C23" s="76">
        <f>SUM(C18:C22)</f>
        <v/>
      </c>
    </row>
    <row r="25">
      <c r="A25" s="8" t="inlineStr">
        <is>
          <t>Other team assumptions</t>
        </is>
      </c>
      <c r="B25" s="8" t="inlineStr">
        <is>
          <t>Value</t>
        </is>
      </c>
      <c r="C25" s="8" t="inlineStr">
        <is>
          <t>Unit</t>
        </is>
      </c>
      <c r="D25" s="8" t="inlineStr">
        <is>
          <t>Note</t>
        </is>
      </c>
    </row>
    <row r="26">
      <c r="A26" s="2" t="inlineStr">
        <is>
          <t>New variant / model-change projects per year</t>
        </is>
      </c>
      <c r="B26" s="32" t="n">
        <v>3</v>
      </c>
      <c r="C26" s="2" t="inlineStr">
        <is>
          <t>projects/yr</t>
        </is>
      </c>
      <c r="D26" s="11" t="inlineStr">
        <is>
          <t>Rises with multi-pathway mix (Exhibit 8)</t>
        </is>
      </c>
    </row>
    <row r="27">
      <c r="A27" s="2" t="inlineStr">
        <is>
          <t>Average cost per equipment modification project</t>
        </is>
      </c>
      <c r="B27" s="77" t="n">
        <v>10</v>
      </c>
      <c r="C27" s="2" t="inlineStr">
        <is>
          <t>Rp billion</t>
        </is>
      </c>
      <c r="D27" s="11" t="inlineStr">
        <is>
          <t>Team assumption, no public source. Tornado shows its NPV swing (Simulation Test 3); state it openly.</t>
        </is>
      </c>
    </row>
    <row r="28">
      <c r="A28" s="2" t="inlineStr">
        <is>
          <t>Share of freed operator time converted to cash</t>
        </is>
      </c>
      <c r="B28" s="24" t="n">
        <v>0.5</v>
      </c>
      <c r="C28" s="2" t="inlineStr">
        <is>
          <t>%</t>
        </is>
      </c>
      <c r="D28" s="11" t="inlineStr">
        <is>
          <t>Rest is redeployed to kaizen / absorbs volume (no layoffs)</t>
        </is>
      </c>
    </row>
    <row r="31">
      <c r="A31" s="8" t="inlineStr">
        <is>
          <t>Lever assumptions by scenario</t>
        </is>
      </c>
      <c r="B31" s="8" t="inlineStr">
        <is>
          <t>Conservative</t>
        </is>
      </c>
      <c r="C31" s="8" t="inlineStr">
        <is>
          <t>Base</t>
        </is>
      </c>
      <c r="D31" s="8" t="inlineStr">
        <is>
          <t>Optimistic</t>
        </is>
      </c>
      <c r="E31" s="8" t="inlineStr">
        <is>
          <t>What drives it / how to defend</t>
        </is>
      </c>
      <c r="F31" s="8" t="inlineStr"/>
      <c r="G31" s="8" t="inlineStr">
        <is>
          <t>Benchmark evidence (cite in appendix)</t>
        </is>
      </c>
    </row>
    <row r="32" ht="54" customHeight="1">
      <c r="A32" s="11" t="inlineStr">
        <is>
          <t>Scrap cost reduction</t>
        </is>
      </c>
      <c r="B32" s="24" t="n">
        <v>0.2</v>
      </c>
      <c r="C32" s="24" t="n">
        <v>0.35</v>
      </c>
      <c r="D32" s="24" t="n">
        <v>0.5</v>
      </c>
      <c r="E32" s="11" t="inlineStr">
        <is>
          <t>Closed-loop feedback catches sealer/inspection lapses upstream (Exhibit 4/5)</t>
        </is>
      </c>
      <c r="G32" s="11" t="inlineStr">
        <is>
          <t>Own simulation (Simulation tab): closed loop cuts in-scope scrap ~85%; x 40% scope share = ~34% plant-wide. Base 35% sits on that result.</t>
        </is>
      </c>
    </row>
    <row r="33" ht="54" customHeight="1">
      <c r="A33" s="11" t="inlineStr">
        <is>
          <t>Maintenance cost reduction</t>
        </is>
      </c>
      <c r="B33" s="24" t="n">
        <v>0.05</v>
      </c>
      <c r="C33" s="24" t="n">
        <v>0.1</v>
      </c>
      <c r="D33" s="24" t="n">
        <v>0.15</v>
      </c>
      <c r="E33" s="11" t="inlineStr">
        <is>
          <t>Predictive maintenance + fewer unplanned stops</t>
        </is>
      </c>
      <c r="G33" s="11" t="inlineStr">
        <is>
          <t>McKinsey (2020, via IIoT World): maintenance cost -18 to 25%, unplanned downtime up to -50%. Our range is deliberately below. https://www.iiot-world.com/predictive-analytics/predictive-maintenance/predictive-maintenance-cost-savings/</t>
        </is>
      </c>
    </row>
    <row r="34" ht="54" customHeight="1">
      <c r="A34" s="11" t="inlineStr">
        <is>
          <t>Operator NVA time eliminated (% of the 22%)</t>
        </is>
      </c>
      <c r="B34" s="24" t="n">
        <v>0.15</v>
      </c>
      <c r="C34" s="24" t="n">
        <v>0.3</v>
      </c>
      <c r="D34" s="24" t="n">
        <v>0.45</v>
      </c>
      <c r="E34" s="11" t="inlineStr">
        <is>
          <t>Intralogistics sync, digital standard work, less searching/waiting</t>
        </is>
      </c>
      <c r="G34" s="11" t="inlineStr">
        <is>
          <t>Toyota AI Platform: &gt;10,000 man-hours/yr saved by worker-built tools (Google Cloud 2024). Omron/MPA AMR case: up to 15 km/day of operator walking and all manual crate runs eliminated (no % published). Validate with a time study in the pilot. https://robotics.omron.com/case-studies/amr-automation-intralogistics-mpa-omron/</t>
        </is>
      </c>
    </row>
    <row r="35" ht="54" customHeight="1">
      <c r="A35" s="11" t="inlineStr">
        <is>
          <t>Energy cost reduction</t>
        </is>
      </c>
      <c r="B35" s="24" t="n">
        <v>0.02</v>
      </c>
      <c r="C35" s="24" t="n">
        <v>0.05</v>
      </c>
      <c r="D35" s="24" t="n">
        <v>0.08</v>
      </c>
      <c r="E35" s="11" t="inlineStr">
        <is>
          <t>Data-driven idle/standby control</t>
        </is>
      </c>
      <c r="G35" s="11" t="inlineStr">
        <is>
          <t>Nissan US plants, energy management system (ISO 50001 / SEP): 13.8% energy performance gain over 3 years, 8-21% by site. Our 2-8% is deliberately below. https://www.cleanenergyministerial.org/content/uploads/2022/03/cem-em-casestudy-nissan-usa.pdf</t>
        </is>
      </c>
    </row>
    <row r="36" ht="54" customHeight="1">
      <c r="A36" s="11" t="inlineStr">
        <is>
          <t>Variant modification cost reduction</t>
        </is>
      </c>
      <c r="B36" s="24" t="n">
        <v>0.2</v>
      </c>
      <c r="C36" s="24" t="n">
        <v>0.35</v>
      </c>
      <c r="D36" s="24" t="n">
        <v>0.5</v>
      </c>
      <c r="E36" s="11" t="inlineStr">
        <is>
          <t>Common interface standard + in-house equipment + virtual verification</t>
        </is>
      </c>
      <c r="G36" s="11" t="inlineStr">
        <is>
          <t>Siemens / Wipro PARI: virtual commissioning cut on-site commissioning 70% on a 17-variant engine line. Kalypso: up to 40%. Toyota BEV plan targets halving prep lead time. https://resources.sw.siemens.com/en-US/case-study-wipro-pari/</t>
        </is>
      </c>
    </row>
    <row r="37" ht="54" customHeight="1">
      <c r="A37" s="11" t="inlineStr">
        <is>
          <t>Total program investment</t>
        </is>
      </c>
      <c r="B37" s="77" t="n">
        <v>110</v>
      </c>
      <c r="C37" s="77" t="n">
        <v>80</v>
      </c>
      <c r="D37" s="77" t="n">
        <v>60</v>
      </c>
      <c r="E37" s="11" t="inlineStr">
        <is>
          <t>Must sit inside case range Rp40-120B</t>
        </is>
      </c>
      <c r="G37" s="11" t="inlineStr">
        <is>
          <t>Case Exhibit 9</t>
        </is>
      </c>
    </row>
    <row r="38" ht="54" customHeight="1">
      <c r="A38" s="11" t="inlineStr">
        <is>
          <t>Annual running cost (% of cumulative investment)</t>
        </is>
      </c>
      <c r="B38" s="24" t="n">
        <v>0.1</v>
      </c>
      <c r="C38" s="24" t="n">
        <v>0.1</v>
      </c>
      <c r="D38" s="24" t="n">
        <v>0.08</v>
      </c>
      <c r="E38" s="11" t="inlineStr">
        <is>
          <t>Licences, cloud/compute, upkeep</t>
        </is>
      </c>
      <c r="G38" s="11" t="inlineStr">
        <is>
          <t>Team assumption</t>
        </is>
      </c>
    </row>
    <row r="39" ht="54" customHeight="1">
      <c r="A39" s="11" t="inlineStr">
        <is>
          <t>Training &amp; change management opex</t>
        </is>
      </c>
      <c r="B39" s="77" t="n">
        <v>3</v>
      </c>
      <c r="C39" s="77" t="n">
        <v>2.5</v>
      </c>
      <c r="D39" s="77" t="n">
        <v>2</v>
      </c>
      <c r="E39" s="11" t="inlineStr">
        <is>
          <t>Rp billion/yr: academy, coaches, kaizen time</t>
        </is>
      </c>
      <c r="G39" s="11" t="inlineStr">
        <is>
          <t>Team assumption; cross-check with Capability tab</t>
        </is>
      </c>
    </row>
    <row r="40">
      <c r="A40" s="2" t="inlineStr">
        <is>
          <t>Implied variant modification time (months)</t>
        </is>
      </c>
      <c r="B40" s="78">
        <f>$B$15*(1-B36)</f>
        <v/>
      </c>
      <c r="C40" s="78">
        <f>$B$15*(1-C36)</f>
        <v/>
      </c>
      <c r="D40" s="78">
        <f>$B$15*(1-D36)</f>
        <v/>
      </c>
      <c r="E40" s="11" t="inlineStr">
        <is>
          <t>Show this on the flexibility slide (vs 9 months today)</t>
        </is>
      </c>
    </row>
    <row r="42">
      <c r="A42" s="8" t="inlineStr">
        <is>
          <t>Timing</t>
        </is>
      </c>
      <c r="B42" s="8" t="inlineStr">
        <is>
          <t>2026</t>
        </is>
      </c>
      <c r="C42" s="8" t="inlineStr">
        <is>
          <t>2027</t>
        </is>
      </c>
      <c r="D42" s="8" t="inlineStr">
        <is>
          <t>2028</t>
        </is>
      </c>
      <c r="E42" s="8" t="inlineStr">
        <is>
          <t>2029</t>
        </is>
      </c>
      <c r="F42" s="8" t="inlineStr">
        <is>
          <t>2030</t>
        </is>
      </c>
      <c r="G42" s="8" t="inlineStr">
        <is>
          <t>Sum / note</t>
        </is>
      </c>
    </row>
    <row r="43">
      <c r="A43" s="2" t="inlineStr">
        <is>
          <t>Adoption ramp-up (% of full run-rate)</t>
        </is>
      </c>
      <c r="B43" s="24" t="n">
        <v>0.1</v>
      </c>
      <c r="C43" s="24" t="n">
        <v>0.35</v>
      </c>
      <c r="D43" s="24" t="n">
        <v>0.65</v>
      </c>
      <c r="E43" s="24" t="n">
        <v>0.9</v>
      </c>
      <c r="F43" s="24" t="n">
        <v>1</v>
      </c>
      <c r="G43" s="2" t="inlineStr">
        <is>
          <t>Pilot -&gt; standardize -&gt; rollout</t>
        </is>
      </c>
    </row>
    <row r="44">
      <c r="A44" s="2" t="inlineStr">
        <is>
          <t>Investment phasing (% of total): PILOT-LIGHT</t>
        </is>
      </c>
      <c r="B44" s="24" t="n">
        <v>0.1</v>
      </c>
      <c r="C44" s="24" t="n">
        <v>0.15</v>
      </c>
      <c r="D44" s="24" t="n">
        <v>0.4</v>
      </c>
      <c r="E44" s="24" t="n">
        <v>0.25</v>
      </c>
      <c r="F44" s="24" t="n">
        <v>0.1</v>
      </c>
      <c r="G44" s="28">
        <f>SUM(B44:F44)</f>
        <v/>
      </c>
    </row>
    <row r="45">
      <c r="A45" s="2" t="inlineStr">
        <is>
          <t>Year index (t)</t>
        </is>
      </c>
      <c r="B45" s="4" t="n">
        <v>1</v>
      </c>
      <c r="C45" s="4" t="n">
        <v>2</v>
      </c>
      <c r="D45" s="4" t="n">
        <v>3</v>
      </c>
      <c r="E45" s="4" t="n">
        <v>4</v>
      </c>
      <c r="F45" s="4" t="n">
        <v>5</v>
      </c>
      <c r="G45" s="2" t="inlineStr">
        <is>
          <t>End-of-year discounting</t>
        </is>
      </c>
    </row>
    <row r="46">
      <c r="A46" s="2" t="inlineStr">
        <is>
          <t>Reference only: original front-loaded phasing</t>
        </is>
      </c>
      <c r="B46" s="20" t="n">
        <v>0.3</v>
      </c>
      <c r="C46" s="20" t="n">
        <v>0.35</v>
      </c>
      <c r="D46" s="20" t="n">
        <v>0.25</v>
      </c>
      <c r="E46" s="20" t="n">
        <v>0.1</v>
      </c>
      <c r="F46" s="20" t="n">
        <v>0</v>
      </c>
    </row>
    <row r="47">
      <c r="A47" s="2" t="inlineStr">
        <is>
          <t>Why pilot-light: Simulation tab Test 2b. Spending little before the end-2027 gate raised P(NPV&gt;0) from ~49% to ~85% across 10,000 runs.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86"/>
  <sheetViews>
    <sheetView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42" customWidth="1" min="1" max="1"/>
    <col width="9" customWidth="1" min="2" max="2"/>
    <col width="12" customWidth="1" min="3" max="3"/>
    <col width="12" customWidth="1" min="4" max="4"/>
    <col width="12" customWidth="1" min="5" max="5"/>
    <col width="12" customWidth="1" min="6" max="6"/>
    <col width="12" customWidth="1" min="7" max="7"/>
    <col width="12" customWidth="1" min="8" max="8"/>
  </cols>
  <sheetData>
    <row r="1">
      <c r="A1" s="1" t="inlineStr">
        <is>
          <t>Savings, investment and NPV by scenario (Rp billion)</t>
        </is>
      </c>
    </row>
    <row r="2">
      <c r="A2" s="2" t="inlineStr">
        <is>
          <t>Program window 2026-2030 = 5-year economic life. No terminal value (conservative).</t>
        </is>
      </c>
    </row>
    <row r="4">
      <c r="A4" s="35" t="inlineStr">
        <is>
          <t>Scenario: Conservative</t>
        </is>
      </c>
    </row>
    <row r="5">
      <c r="A5" s="8" t="inlineStr">
        <is>
          <t>Line item</t>
        </is>
      </c>
      <c r="B5" s="8" t="inlineStr">
        <is>
          <t>Unit</t>
        </is>
      </c>
      <c r="C5" s="8" t="inlineStr">
        <is>
          <t>2026</t>
        </is>
      </c>
      <c r="D5" s="8" t="inlineStr">
        <is>
          <t>2027</t>
        </is>
      </c>
      <c r="E5" s="8" t="inlineStr">
        <is>
          <t>2028</t>
        </is>
      </c>
      <c r="F5" s="8" t="inlineStr">
        <is>
          <t>2029</t>
        </is>
      </c>
      <c r="G5" s="8" t="inlineStr">
        <is>
          <t>2030</t>
        </is>
      </c>
      <c r="H5" s="8" t="inlineStr">
        <is>
          <t>Total</t>
        </is>
      </c>
    </row>
    <row r="6">
      <c r="A6" s="2" t="inlineStr">
        <is>
          <t>Adoption ramp-up</t>
        </is>
      </c>
      <c r="B6" s="2" t="inlineStr">
        <is>
          <t>%</t>
        </is>
      </c>
      <c r="C6" s="36">
        <f>Assumptions!B$43</f>
        <v/>
      </c>
      <c r="D6" s="36">
        <f>Assumptions!C$43</f>
        <v/>
      </c>
      <c r="E6" s="36">
        <f>Assumptions!D$43</f>
        <v/>
      </c>
      <c r="F6" s="36">
        <f>Assumptions!E$43</f>
        <v/>
      </c>
      <c r="G6" s="36">
        <f>Assumptions!F$43</f>
        <v/>
      </c>
    </row>
    <row r="7">
      <c r="A7" s="2" t="inlineStr">
        <is>
          <t>Escalation factor</t>
        </is>
      </c>
      <c r="B7" s="2" t="inlineStr">
        <is>
          <t>x</t>
        </is>
      </c>
      <c r="C7" s="37">
        <f>(1+Assumptions!$B$10)^(Assumptions!B$45-1)</f>
        <v/>
      </c>
      <c r="D7" s="37">
        <f>(1+Assumptions!$B$10)^(Assumptions!C$45-1)</f>
        <v/>
      </c>
      <c r="E7" s="37">
        <f>(1+Assumptions!$B$10)^(Assumptions!D$45-1)</f>
        <v/>
      </c>
      <c r="F7" s="37">
        <f>(1+Assumptions!$B$10)^(Assumptions!E$45-1)</f>
        <v/>
      </c>
      <c r="G7" s="37">
        <f>(1+Assumptions!$B$10)^(Assumptions!F$45-1)</f>
        <v/>
      </c>
    </row>
    <row r="8">
      <c r="A8" s="2" t="inlineStr">
        <is>
          <t>Saving: scrap</t>
        </is>
      </c>
      <c r="B8" s="2" t="inlineStr">
        <is>
          <t>Rp B</t>
        </is>
      </c>
      <c r="C8" s="76">
        <f>Assumptions!$B$8*Assumptions!$B$22*Assumptions!$B$32*C6*C7</f>
        <v/>
      </c>
      <c r="D8" s="76">
        <f>Assumptions!$B$8*Assumptions!$B$22*Assumptions!$B$32*D6*D7</f>
        <v/>
      </c>
      <c r="E8" s="76">
        <f>Assumptions!$B$8*Assumptions!$B$22*Assumptions!$B$32*E6*E7</f>
        <v/>
      </c>
      <c r="F8" s="76">
        <f>Assumptions!$B$8*Assumptions!$B$22*Assumptions!$B$32*F6*F7</f>
        <v/>
      </c>
      <c r="G8" s="76">
        <f>Assumptions!$B$8*Assumptions!$B$22*Assumptions!$B$32*G6*G7</f>
        <v/>
      </c>
      <c r="H8" s="76">
        <f>SUM(C8:G8)</f>
        <v/>
      </c>
    </row>
    <row r="9">
      <c r="A9" s="2" t="inlineStr">
        <is>
          <t>Saving: maintenance / downtime</t>
        </is>
      </c>
      <c r="B9" s="2" t="inlineStr">
        <is>
          <t>Rp B</t>
        </is>
      </c>
      <c r="C9" s="76">
        <f>Assumptions!$B$8*Assumptions!$B$20*Assumptions!$B$33*C6*C7</f>
        <v/>
      </c>
      <c r="D9" s="76">
        <f>Assumptions!$B$8*Assumptions!$B$20*Assumptions!$B$33*D6*D7</f>
        <v/>
      </c>
      <c r="E9" s="76">
        <f>Assumptions!$B$8*Assumptions!$B$20*Assumptions!$B$33*E6*E7</f>
        <v/>
      </c>
      <c r="F9" s="76">
        <f>Assumptions!$B$8*Assumptions!$B$20*Assumptions!$B$33*F6*F7</f>
        <v/>
      </c>
      <c r="G9" s="76">
        <f>Assumptions!$B$8*Assumptions!$B$20*Assumptions!$B$33*G6*G7</f>
        <v/>
      </c>
      <c r="H9" s="76">
        <f>SUM(C9:G9)</f>
        <v/>
      </c>
    </row>
    <row r="10">
      <c r="A10" s="2" t="inlineStr">
        <is>
          <t>Saving: operator NVA time</t>
        </is>
      </c>
      <c r="B10" s="2" t="inlineStr">
        <is>
          <t>Rp B</t>
        </is>
      </c>
      <c r="C10" s="76">
        <f>Assumptions!$B$8*Assumptions!$B$18*Assumptions!$B$14*Assumptions!$B$34*Assumptions!$B$28*C6*C7</f>
        <v/>
      </c>
      <c r="D10" s="76">
        <f>Assumptions!$B$8*Assumptions!$B$18*Assumptions!$B$14*Assumptions!$B$34*Assumptions!$B$28*D6*D7</f>
        <v/>
      </c>
      <c r="E10" s="76">
        <f>Assumptions!$B$8*Assumptions!$B$18*Assumptions!$B$14*Assumptions!$B$34*Assumptions!$B$28*E6*E7</f>
        <v/>
      </c>
      <c r="F10" s="76">
        <f>Assumptions!$B$8*Assumptions!$B$18*Assumptions!$B$14*Assumptions!$B$34*Assumptions!$B$28*F6*F7</f>
        <v/>
      </c>
      <c r="G10" s="76">
        <f>Assumptions!$B$8*Assumptions!$B$18*Assumptions!$B$14*Assumptions!$B$34*Assumptions!$B$28*G6*G7</f>
        <v/>
      </c>
      <c r="H10" s="76">
        <f>SUM(C10:G10)</f>
        <v/>
      </c>
    </row>
    <row r="11">
      <c r="A11" s="2" t="inlineStr">
        <is>
          <t>Saving: energy</t>
        </is>
      </c>
      <c r="B11" s="2" t="inlineStr">
        <is>
          <t>Rp B</t>
        </is>
      </c>
      <c r="C11" s="76">
        <f>Assumptions!$B$8*Assumptions!$B$19*Assumptions!$B$35*C6*C7</f>
        <v/>
      </c>
      <c r="D11" s="76">
        <f>Assumptions!$B$8*Assumptions!$B$19*Assumptions!$B$35*D6*D7</f>
        <v/>
      </c>
      <c r="E11" s="76">
        <f>Assumptions!$B$8*Assumptions!$B$19*Assumptions!$B$35*E6*E7</f>
        <v/>
      </c>
      <c r="F11" s="76">
        <f>Assumptions!$B$8*Assumptions!$B$19*Assumptions!$B$35*F6*F7</f>
        <v/>
      </c>
      <c r="G11" s="76">
        <f>Assumptions!$B$8*Assumptions!$B$19*Assumptions!$B$35*G6*G7</f>
        <v/>
      </c>
      <c r="H11" s="76">
        <f>SUM(C11:G11)</f>
        <v/>
      </c>
    </row>
    <row r="12">
      <c r="A12" s="2" t="inlineStr">
        <is>
          <t>Saving: variant modification</t>
        </is>
      </c>
      <c r="B12" s="2" t="inlineStr">
        <is>
          <t>Rp B</t>
        </is>
      </c>
      <c r="C12" s="76">
        <f>Assumptions!$B$26*Assumptions!$B$27*Assumptions!$B$36*C6*C7</f>
        <v/>
      </c>
      <c r="D12" s="76">
        <f>Assumptions!$B$26*Assumptions!$B$27*Assumptions!$B$36*D6*D7</f>
        <v/>
      </c>
      <c r="E12" s="76">
        <f>Assumptions!$B$26*Assumptions!$B$27*Assumptions!$B$36*E6*E7</f>
        <v/>
      </c>
      <c r="F12" s="76">
        <f>Assumptions!$B$26*Assumptions!$B$27*Assumptions!$B$36*F6*F7</f>
        <v/>
      </c>
      <c r="G12" s="76">
        <f>Assumptions!$B$26*Assumptions!$B$27*Assumptions!$B$36*G6*G7</f>
        <v/>
      </c>
      <c r="H12" s="76">
        <f>SUM(C12:G12)</f>
        <v/>
      </c>
    </row>
    <row r="13">
      <c r="A13" s="3" t="inlineStr">
        <is>
          <t>Total gross savings</t>
        </is>
      </c>
      <c r="B13" s="2" t="inlineStr">
        <is>
          <t>Rp B</t>
        </is>
      </c>
      <c r="C13" s="79">
        <f>SUM(C8:C12)</f>
        <v/>
      </c>
      <c r="D13" s="79">
        <f>SUM(D8:D12)</f>
        <v/>
      </c>
      <c r="E13" s="79">
        <f>SUM(E8:E12)</f>
        <v/>
      </c>
      <c r="F13" s="79">
        <f>SUM(F8:F12)</f>
        <v/>
      </c>
      <c r="G13" s="79">
        <f>SUM(G8:G12)</f>
        <v/>
      </c>
      <c r="H13" s="79">
        <f>SUM(C13:G13)</f>
        <v/>
      </c>
    </row>
    <row r="14">
      <c r="A14" s="2" t="inlineStr">
        <is>
          <t>Investment (capex)</t>
        </is>
      </c>
      <c r="B14" s="2" t="inlineStr">
        <is>
          <t>Rp B</t>
        </is>
      </c>
      <c r="C14" s="76">
        <f>Assumptions!$B$37*Assumptions!B$44</f>
        <v/>
      </c>
      <c r="D14" s="76">
        <f>Assumptions!$B$37*Assumptions!C$44</f>
        <v/>
      </c>
      <c r="E14" s="76">
        <f>Assumptions!$B$37*Assumptions!D$44</f>
        <v/>
      </c>
      <c r="F14" s="76">
        <f>Assumptions!$B$37*Assumptions!E$44</f>
        <v/>
      </c>
      <c r="G14" s="76">
        <f>Assumptions!$B$37*Assumptions!F$44</f>
        <v/>
      </c>
      <c r="H14" s="76">
        <f>SUM(C14:G14)</f>
        <v/>
      </c>
    </row>
    <row r="15">
      <c r="A15" s="2" t="inlineStr">
        <is>
          <t>Cumulative investment</t>
        </is>
      </c>
      <c r="B15" s="2" t="inlineStr">
        <is>
          <t>Rp B</t>
        </is>
      </c>
      <c r="C15" s="76">
        <f>SUM($C14:C14)</f>
        <v/>
      </c>
      <c r="D15" s="76">
        <f>SUM($C14:D14)</f>
        <v/>
      </c>
      <c r="E15" s="76">
        <f>SUM($C14:E14)</f>
        <v/>
      </c>
      <c r="F15" s="76">
        <f>SUM($C14:F14)</f>
        <v/>
      </c>
      <c r="G15" s="76">
        <f>SUM($C14:G14)</f>
        <v/>
      </c>
    </row>
    <row r="16">
      <c r="A16" s="2" t="inlineStr">
        <is>
          <t>Running + training cost</t>
        </is>
      </c>
      <c r="B16" s="2" t="inlineStr">
        <is>
          <t>Rp B</t>
        </is>
      </c>
      <c r="C16" s="76">
        <f>C15*Assumptions!$B$38+Assumptions!$B$39</f>
        <v/>
      </c>
      <c r="D16" s="76">
        <f>D15*Assumptions!$B$38+Assumptions!$B$39</f>
        <v/>
      </c>
      <c r="E16" s="76">
        <f>E15*Assumptions!$B$38+Assumptions!$B$39</f>
        <v/>
      </c>
      <c r="F16" s="76">
        <f>F15*Assumptions!$B$38+Assumptions!$B$39</f>
        <v/>
      </c>
      <c r="G16" s="76">
        <f>G15*Assumptions!$B$38+Assumptions!$B$39</f>
        <v/>
      </c>
      <c r="H16" s="76">
        <f>SUM(C16:G16)</f>
        <v/>
      </c>
    </row>
    <row r="17">
      <c r="A17" s="3" t="inlineStr">
        <is>
          <t>Net cash flow</t>
        </is>
      </c>
      <c r="B17" s="2" t="inlineStr">
        <is>
          <t>Rp B</t>
        </is>
      </c>
      <c r="C17" s="79">
        <f>C13-C14-C16</f>
        <v/>
      </c>
      <c r="D17" s="79">
        <f>D13-D14-D16</f>
        <v/>
      </c>
      <c r="E17" s="79">
        <f>E13-E14-E16</f>
        <v/>
      </c>
      <c r="F17" s="79">
        <f>F13-F14-F16</f>
        <v/>
      </c>
      <c r="G17" s="79">
        <f>G13-G14-G16</f>
        <v/>
      </c>
      <c r="H17" s="79">
        <f>SUM(C17:G17)</f>
        <v/>
      </c>
    </row>
    <row r="18">
      <c r="A18" s="2" t="inlineStr">
        <is>
          <t>Discount factor</t>
        </is>
      </c>
      <c r="B18" s="2" t="inlineStr">
        <is>
          <t>x</t>
        </is>
      </c>
      <c r="C18" s="37">
        <f>1/(1+Assumptions!$B$9)^Assumptions!B$45</f>
        <v/>
      </c>
      <c r="D18" s="37">
        <f>1/(1+Assumptions!$B$9)^Assumptions!C$45</f>
        <v/>
      </c>
      <c r="E18" s="37">
        <f>1/(1+Assumptions!$B$9)^Assumptions!D$45</f>
        <v/>
      </c>
      <c r="F18" s="37">
        <f>1/(1+Assumptions!$B$9)^Assumptions!E$45</f>
        <v/>
      </c>
      <c r="G18" s="37">
        <f>1/(1+Assumptions!$B$9)^Assumptions!F$45</f>
        <v/>
      </c>
    </row>
    <row r="19">
      <c r="A19" s="3" t="inlineStr">
        <is>
          <t>Present value</t>
        </is>
      </c>
      <c r="B19" s="2" t="inlineStr">
        <is>
          <t>Rp B</t>
        </is>
      </c>
      <c r="C19" s="79">
        <f>C17*C18</f>
        <v/>
      </c>
      <c r="D19" s="79">
        <f>D17*D18</f>
        <v/>
      </c>
      <c r="E19" s="79">
        <f>E17*E18</f>
        <v/>
      </c>
      <c r="F19" s="79">
        <f>F17*F18</f>
        <v/>
      </c>
      <c r="G19" s="79">
        <f>G17*G18</f>
        <v/>
      </c>
      <c r="H19" s="79">
        <f>SUM(C19:G19)</f>
        <v/>
      </c>
    </row>
    <row r="20">
      <c r="A20" s="2" t="inlineStr">
        <is>
          <t>Cumulative net cash flow</t>
        </is>
      </c>
      <c r="B20" s="2" t="inlineStr">
        <is>
          <t>Rp B</t>
        </is>
      </c>
      <c r="C20" s="76">
        <f>SUM($C17:C17)</f>
        <v/>
      </c>
      <c r="D20" s="76">
        <f>SUM($C17:D17)</f>
        <v/>
      </c>
      <c r="E20" s="76">
        <f>SUM($C17:E17)</f>
        <v/>
      </c>
      <c r="F20" s="76">
        <f>SUM($C17:F17)</f>
        <v/>
      </c>
      <c r="G20" s="76">
        <f>SUM($C17:G17)</f>
        <v/>
      </c>
    </row>
    <row r="22">
      <c r="A22" s="16" t="inlineStr">
        <is>
          <t>Outputs</t>
        </is>
      </c>
    </row>
    <row r="23">
      <c r="A23" s="2" t="inlineStr">
        <is>
          <t>NPV @ discount rate</t>
        </is>
      </c>
      <c r="B23" s="2" t="inlineStr">
        <is>
          <t>Rp B</t>
        </is>
      </c>
      <c r="C23" s="79">
        <f>SUM(C19:G19)</f>
        <v/>
      </c>
    </row>
    <row r="24">
      <c r="A24" s="2" t="inlineStr">
        <is>
          <t>IRR</t>
        </is>
      </c>
      <c r="B24" s="2" t="inlineStr">
        <is>
          <t>%</t>
        </is>
      </c>
      <c r="C24" s="21">
        <f>IFERROR(IRR(C17:G17),"n/a")</f>
        <v/>
      </c>
    </row>
    <row r="25">
      <c r="A25" s="2" t="inlineStr">
        <is>
          <t>Payback year (cumulative net turns positive)</t>
        </is>
      </c>
      <c r="B25" s="2" t="inlineStr">
        <is>
          <t>year</t>
        </is>
      </c>
      <c r="C25" s="3">
        <f>IF(G20&lt;0,"Beyond 2030",2026+COUNTIF(C20:G20,"&lt;0"))</f>
        <v/>
      </c>
    </row>
    <row r="26">
      <c r="A26" s="2" t="inlineStr">
        <is>
          <t>Full run-rate savings (2025 prices)</t>
        </is>
      </c>
      <c r="B26" s="2" t="inlineStr">
        <is>
          <t>Rp B/yr</t>
        </is>
      </c>
      <c r="C26" s="79">
        <f>Assumptions!$B$8*(Assumptions!$B$22*Assumptions!B32+Assumptions!$B$20*Assumptions!B33+Assumptions!$B$18*Assumptions!$B$14*Assumptions!B34*Assumptions!$B$28+Assumptions!$B$19*Assumptions!B35)+Assumptions!$B$26*Assumptions!$B$27*Assumptions!B36</f>
        <v/>
      </c>
    </row>
    <row r="27">
      <c r="A27" s="2" t="inlineStr">
        <is>
          <t>Run-rate savings as % of conversion cost</t>
        </is>
      </c>
      <c r="B27" s="2" t="inlineStr">
        <is>
          <t>%</t>
        </is>
      </c>
      <c r="C27" s="21">
        <f>C26/Assumptions!$B$8</f>
        <v/>
      </c>
    </row>
    <row r="28">
      <c r="A28" s="2" t="inlineStr">
        <is>
          <t>Implied conversion cost index</t>
        </is>
      </c>
      <c r="B28" s="2" t="inlineStr">
        <is>
          <t>index</t>
        </is>
      </c>
      <c r="C28" s="53">
        <f>Assumptions!$B$12*(1-C27)</f>
        <v/>
      </c>
    </row>
    <row r="29">
      <c r="A29" s="2" t="inlineStr">
        <is>
          <t>Share of gap to benchmark closed</t>
        </is>
      </c>
      <c r="B29" s="2" t="inlineStr">
        <is>
          <t>%</t>
        </is>
      </c>
      <c r="C29" s="21">
        <f>(Assumptions!$B$12-C28)/(Assumptions!$B$12-Assumptions!$B$13)</f>
        <v/>
      </c>
    </row>
    <row r="30">
      <c r="A30" s="2" t="inlineStr">
        <is>
          <t>NPV incl. remaining equipment value at end-2030 (book)</t>
        </is>
      </c>
      <c r="B30" s="2" t="inlineStr">
        <is>
          <t>Rp B</t>
        </is>
      </c>
      <c r="C30" s="79">
        <f>C23+SUMPRODUCT(C14:G14,(Assumptions!$B$45:$F$45-0.5)/Assumptions!$B$11)/(1+Assumptions!$B$9)^Assumptions!$B$11</f>
        <v/>
      </c>
    </row>
    <row r="32">
      <c r="A32" s="35" t="inlineStr">
        <is>
          <t>Scenario: Base</t>
        </is>
      </c>
    </row>
    <row r="33">
      <c r="A33" s="8" t="inlineStr">
        <is>
          <t>Line item</t>
        </is>
      </c>
      <c r="B33" s="8" t="inlineStr">
        <is>
          <t>Unit</t>
        </is>
      </c>
      <c r="C33" s="8" t="inlineStr">
        <is>
          <t>2026</t>
        </is>
      </c>
      <c r="D33" s="8" t="inlineStr">
        <is>
          <t>2027</t>
        </is>
      </c>
      <c r="E33" s="8" t="inlineStr">
        <is>
          <t>2028</t>
        </is>
      </c>
      <c r="F33" s="8" t="inlineStr">
        <is>
          <t>2029</t>
        </is>
      </c>
      <c r="G33" s="8" t="inlineStr">
        <is>
          <t>2030</t>
        </is>
      </c>
      <c r="H33" s="8" t="inlineStr">
        <is>
          <t>Total</t>
        </is>
      </c>
    </row>
    <row r="34">
      <c r="A34" s="2" t="inlineStr">
        <is>
          <t>Adoption ramp-up</t>
        </is>
      </c>
      <c r="B34" s="2" t="inlineStr">
        <is>
          <t>%</t>
        </is>
      </c>
      <c r="C34" s="36">
        <f>Assumptions!B$43</f>
        <v/>
      </c>
      <c r="D34" s="36">
        <f>Assumptions!C$43</f>
        <v/>
      </c>
      <c r="E34" s="36">
        <f>Assumptions!D$43</f>
        <v/>
      </c>
      <c r="F34" s="36">
        <f>Assumptions!E$43</f>
        <v/>
      </c>
      <c r="G34" s="36">
        <f>Assumptions!F$43</f>
        <v/>
      </c>
    </row>
    <row r="35">
      <c r="A35" s="2" t="inlineStr">
        <is>
          <t>Escalation factor</t>
        </is>
      </c>
      <c r="B35" s="2" t="inlineStr">
        <is>
          <t>x</t>
        </is>
      </c>
      <c r="C35" s="37">
        <f>(1+Assumptions!$B$10)^(Assumptions!B$45-1)</f>
        <v/>
      </c>
      <c r="D35" s="37">
        <f>(1+Assumptions!$B$10)^(Assumptions!C$45-1)</f>
        <v/>
      </c>
      <c r="E35" s="37">
        <f>(1+Assumptions!$B$10)^(Assumptions!D$45-1)</f>
        <v/>
      </c>
      <c r="F35" s="37">
        <f>(1+Assumptions!$B$10)^(Assumptions!E$45-1)</f>
        <v/>
      </c>
      <c r="G35" s="37">
        <f>(1+Assumptions!$B$10)^(Assumptions!F$45-1)</f>
        <v/>
      </c>
    </row>
    <row r="36">
      <c r="A36" s="2" t="inlineStr">
        <is>
          <t>Saving: scrap</t>
        </is>
      </c>
      <c r="B36" s="2" t="inlineStr">
        <is>
          <t>Rp B</t>
        </is>
      </c>
      <c r="C36" s="76">
        <f>Assumptions!$B$8*Assumptions!$B$22*Assumptions!$C$32*C34*C35</f>
        <v/>
      </c>
      <c r="D36" s="76">
        <f>Assumptions!$B$8*Assumptions!$B$22*Assumptions!$C$32*D34*D35</f>
        <v/>
      </c>
      <c r="E36" s="76">
        <f>Assumptions!$B$8*Assumptions!$B$22*Assumptions!$C$32*E34*E35</f>
        <v/>
      </c>
      <c r="F36" s="76">
        <f>Assumptions!$B$8*Assumptions!$B$22*Assumptions!$C$32*F34*F35</f>
        <v/>
      </c>
      <c r="G36" s="76">
        <f>Assumptions!$B$8*Assumptions!$B$22*Assumptions!$C$32*G34*G35</f>
        <v/>
      </c>
      <c r="H36" s="76">
        <f>SUM(C36:G36)</f>
        <v/>
      </c>
    </row>
    <row r="37">
      <c r="A37" s="2" t="inlineStr">
        <is>
          <t>Saving: maintenance / downtime</t>
        </is>
      </c>
      <c r="B37" s="2" t="inlineStr">
        <is>
          <t>Rp B</t>
        </is>
      </c>
      <c r="C37" s="76">
        <f>Assumptions!$B$8*Assumptions!$B$20*Assumptions!$C$33*C34*C35</f>
        <v/>
      </c>
      <c r="D37" s="76">
        <f>Assumptions!$B$8*Assumptions!$B$20*Assumptions!$C$33*D34*D35</f>
        <v/>
      </c>
      <c r="E37" s="76">
        <f>Assumptions!$B$8*Assumptions!$B$20*Assumptions!$C$33*E34*E35</f>
        <v/>
      </c>
      <c r="F37" s="76">
        <f>Assumptions!$B$8*Assumptions!$B$20*Assumptions!$C$33*F34*F35</f>
        <v/>
      </c>
      <c r="G37" s="76">
        <f>Assumptions!$B$8*Assumptions!$B$20*Assumptions!$C$33*G34*G35</f>
        <v/>
      </c>
      <c r="H37" s="76">
        <f>SUM(C37:G37)</f>
        <v/>
      </c>
    </row>
    <row r="38">
      <c r="A38" s="2" t="inlineStr">
        <is>
          <t>Saving: operator NVA time</t>
        </is>
      </c>
      <c r="B38" s="2" t="inlineStr">
        <is>
          <t>Rp B</t>
        </is>
      </c>
      <c r="C38" s="76">
        <f>Assumptions!$B$8*Assumptions!$B$18*Assumptions!$B$14*Assumptions!$C$34*Assumptions!$B$28*C34*C35</f>
        <v/>
      </c>
      <c r="D38" s="76">
        <f>Assumptions!$B$8*Assumptions!$B$18*Assumptions!$B$14*Assumptions!$C$34*Assumptions!$B$28*D34*D35</f>
        <v/>
      </c>
      <c r="E38" s="76">
        <f>Assumptions!$B$8*Assumptions!$B$18*Assumptions!$B$14*Assumptions!$C$34*Assumptions!$B$28*E34*E35</f>
        <v/>
      </c>
      <c r="F38" s="76">
        <f>Assumptions!$B$8*Assumptions!$B$18*Assumptions!$B$14*Assumptions!$C$34*Assumptions!$B$28*F34*F35</f>
        <v/>
      </c>
      <c r="G38" s="76">
        <f>Assumptions!$B$8*Assumptions!$B$18*Assumptions!$B$14*Assumptions!$C$34*Assumptions!$B$28*G34*G35</f>
        <v/>
      </c>
      <c r="H38" s="76">
        <f>SUM(C38:G38)</f>
        <v/>
      </c>
    </row>
    <row r="39">
      <c r="A39" s="2" t="inlineStr">
        <is>
          <t>Saving: energy</t>
        </is>
      </c>
      <c r="B39" s="2" t="inlineStr">
        <is>
          <t>Rp B</t>
        </is>
      </c>
      <c r="C39" s="76">
        <f>Assumptions!$B$8*Assumptions!$B$19*Assumptions!$C$35*C34*C35</f>
        <v/>
      </c>
      <c r="D39" s="76">
        <f>Assumptions!$B$8*Assumptions!$B$19*Assumptions!$C$35*D34*D35</f>
        <v/>
      </c>
      <c r="E39" s="76">
        <f>Assumptions!$B$8*Assumptions!$B$19*Assumptions!$C$35*E34*E35</f>
        <v/>
      </c>
      <c r="F39" s="76">
        <f>Assumptions!$B$8*Assumptions!$B$19*Assumptions!$C$35*F34*F35</f>
        <v/>
      </c>
      <c r="G39" s="76">
        <f>Assumptions!$B$8*Assumptions!$B$19*Assumptions!$C$35*G34*G35</f>
        <v/>
      </c>
      <c r="H39" s="76">
        <f>SUM(C39:G39)</f>
        <v/>
      </c>
    </row>
    <row r="40">
      <c r="A40" s="2" t="inlineStr">
        <is>
          <t>Saving: variant modification</t>
        </is>
      </c>
      <c r="B40" s="2" t="inlineStr">
        <is>
          <t>Rp B</t>
        </is>
      </c>
      <c r="C40" s="76">
        <f>Assumptions!$B$26*Assumptions!$B$27*Assumptions!$C$36*C34*C35</f>
        <v/>
      </c>
      <c r="D40" s="76">
        <f>Assumptions!$B$26*Assumptions!$B$27*Assumptions!$C$36*D34*D35</f>
        <v/>
      </c>
      <c r="E40" s="76">
        <f>Assumptions!$B$26*Assumptions!$B$27*Assumptions!$C$36*E34*E35</f>
        <v/>
      </c>
      <c r="F40" s="76">
        <f>Assumptions!$B$26*Assumptions!$B$27*Assumptions!$C$36*F34*F35</f>
        <v/>
      </c>
      <c r="G40" s="76">
        <f>Assumptions!$B$26*Assumptions!$B$27*Assumptions!$C$36*G34*G35</f>
        <v/>
      </c>
      <c r="H40" s="76">
        <f>SUM(C40:G40)</f>
        <v/>
      </c>
    </row>
    <row r="41">
      <c r="A41" s="3" t="inlineStr">
        <is>
          <t>Total gross savings</t>
        </is>
      </c>
      <c r="B41" s="2" t="inlineStr">
        <is>
          <t>Rp B</t>
        </is>
      </c>
      <c r="C41" s="79">
        <f>SUM(C36:C40)</f>
        <v/>
      </c>
      <c r="D41" s="79">
        <f>SUM(D36:D40)</f>
        <v/>
      </c>
      <c r="E41" s="79">
        <f>SUM(E36:E40)</f>
        <v/>
      </c>
      <c r="F41" s="79">
        <f>SUM(F36:F40)</f>
        <v/>
      </c>
      <c r="G41" s="79">
        <f>SUM(G36:G40)</f>
        <v/>
      </c>
      <c r="H41" s="79">
        <f>SUM(C41:G41)</f>
        <v/>
      </c>
    </row>
    <row r="42">
      <c r="A42" s="2" t="inlineStr">
        <is>
          <t>Investment (capex)</t>
        </is>
      </c>
      <c r="B42" s="2" t="inlineStr">
        <is>
          <t>Rp B</t>
        </is>
      </c>
      <c r="C42" s="76">
        <f>Assumptions!$C$37*Assumptions!B$44</f>
        <v/>
      </c>
      <c r="D42" s="76">
        <f>Assumptions!$C$37*Assumptions!C$44</f>
        <v/>
      </c>
      <c r="E42" s="76">
        <f>Assumptions!$C$37*Assumptions!D$44</f>
        <v/>
      </c>
      <c r="F42" s="76">
        <f>Assumptions!$C$37*Assumptions!E$44</f>
        <v/>
      </c>
      <c r="G42" s="76">
        <f>Assumptions!$C$37*Assumptions!F$44</f>
        <v/>
      </c>
      <c r="H42" s="76">
        <f>SUM(C42:G42)</f>
        <v/>
      </c>
    </row>
    <row r="43">
      <c r="A43" s="2" t="inlineStr">
        <is>
          <t>Cumulative investment</t>
        </is>
      </c>
      <c r="B43" s="2" t="inlineStr">
        <is>
          <t>Rp B</t>
        </is>
      </c>
      <c r="C43" s="76">
        <f>SUM($C42:C42)</f>
        <v/>
      </c>
      <c r="D43" s="76">
        <f>SUM($C42:D42)</f>
        <v/>
      </c>
      <c r="E43" s="76">
        <f>SUM($C42:E42)</f>
        <v/>
      </c>
      <c r="F43" s="76">
        <f>SUM($C42:F42)</f>
        <v/>
      </c>
      <c r="G43" s="76">
        <f>SUM($C42:G42)</f>
        <v/>
      </c>
    </row>
    <row r="44">
      <c r="A44" s="2" t="inlineStr">
        <is>
          <t>Running + training cost</t>
        </is>
      </c>
      <c r="B44" s="2" t="inlineStr">
        <is>
          <t>Rp B</t>
        </is>
      </c>
      <c r="C44" s="76">
        <f>C43*Assumptions!$C$38+Assumptions!$C$39</f>
        <v/>
      </c>
      <c r="D44" s="76">
        <f>D43*Assumptions!$C$38+Assumptions!$C$39</f>
        <v/>
      </c>
      <c r="E44" s="76">
        <f>E43*Assumptions!$C$38+Assumptions!$C$39</f>
        <v/>
      </c>
      <c r="F44" s="76">
        <f>F43*Assumptions!$C$38+Assumptions!$C$39</f>
        <v/>
      </c>
      <c r="G44" s="76">
        <f>G43*Assumptions!$C$38+Assumptions!$C$39</f>
        <v/>
      </c>
      <c r="H44" s="76">
        <f>SUM(C44:G44)</f>
        <v/>
      </c>
    </row>
    <row r="45">
      <c r="A45" s="3" t="inlineStr">
        <is>
          <t>Net cash flow</t>
        </is>
      </c>
      <c r="B45" s="2" t="inlineStr">
        <is>
          <t>Rp B</t>
        </is>
      </c>
      <c r="C45" s="79">
        <f>C41-C42-C44</f>
        <v/>
      </c>
      <c r="D45" s="79">
        <f>D41-D42-D44</f>
        <v/>
      </c>
      <c r="E45" s="79">
        <f>E41-E42-E44</f>
        <v/>
      </c>
      <c r="F45" s="79">
        <f>F41-F42-F44</f>
        <v/>
      </c>
      <c r="G45" s="79">
        <f>G41-G42-G44</f>
        <v/>
      </c>
      <c r="H45" s="79">
        <f>SUM(C45:G45)</f>
        <v/>
      </c>
    </row>
    <row r="46">
      <c r="A46" s="2" t="inlineStr">
        <is>
          <t>Discount factor</t>
        </is>
      </c>
      <c r="B46" s="2" t="inlineStr">
        <is>
          <t>x</t>
        </is>
      </c>
      <c r="C46" s="37">
        <f>1/(1+Assumptions!$B$9)^Assumptions!B$45</f>
        <v/>
      </c>
      <c r="D46" s="37">
        <f>1/(1+Assumptions!$B$9)^Assumptions!C$45</f>
        <v/>
      </c>
      <c r="E46" s="37">
        <f>1/(1+Assumptions!$B$9)^Assumptions!D$45</f>
        <v/>
      </c>
      <c r="F46" s="37">
        <f>1/(1+Assumptions!$B$9)^Assumptions!E$45</f>
        <v/>
      </c>
      <c r="G46" s="37">
        <f>1/(1+Assumptions!$B$9)^Assumptions!F$45</f>
        <v/>
      </c>
    </row>
    <row r="47">
      <c r="A47" s="3" t="inlineStr">
        <is>
          <t>Present value</t>
        </is>
      </c>
      <c r="B47" s="2" t="inlineStr">
        <is>
          <t>Rp B</t>
        </is>
      </c>
      <c r="C47" s="79">
        <f>C45*C46</f>
        <v/>
      </c>
      <c r="D47" s="79">
        <f>D45*D46</f>
        <v/>
      </c>
      <c r="E47" s="79">
        <f>E45*E46</f>
        <v/>
      </c>
      <c r="F47" s="79">
        <f>F45*F46</f>
        <v/>
      </c>
      <c r="G47" s="79">
        <f>G45*G46</f>
        <v/>
      </c>
      <c r="H47" s="79">
        <f>SUM(C47:G47)</f>
        <v/>
      </c>
    </row>
    <row r="48">
      <c r="A48" s="2" t="inlineStr">
        <is>
          <t>Cumulative net cash flow</t>
        </is>
      </c>
      <c r="B48" s="2" t="inlineStr">
        <is>
          <t>Rp B</t>
        </is>
      </c>
      <c r="C48" s="76">
        <f>SUM($C45:C45)</f>
        <v/>
      </c>
      <c r="D48" s="76">
        <f>SUM($C45:D45)</f>
        <v/>
      </c>
      <c r="E48" s="76">
        <f>SUM($C45:E45)</f>
        <v/>
      </c>
      <c r="F48" s="76">
        <f>SUM($C45:F45)</f>
        <v/>
      </c>
      <c r="G48" s="76">
        <f>SUM($C45:G45)</f>
        <v/>
      </c>
    </row>
    <row r="50">
      <c r="A50" s="16" t="inlineStr">
        <is>
          <t>Outputs</t>
        </is>
      </c>
    </row>
    <row r="51">
      <c r="A51" s="2" t="inlineStr">
        <is>
          <t>NPV @ discount rate</t>
        </is>
      </c>
      <c r="B51" s="2" t="inlineStr">
        <is>
          <t>Rp B</t>
        </is>
      </c>
      <c r="C51" s="79">
        <f>SUM(C47:G47)</f>
        <v/>
      </c>
    </row>
    <row r="52">
      <c r="A52" s="2" t="inlineStr">
        <is>
          <t>IRR</t>
        </is>
      </c>
      <c r="B52" s="2" t="inlineStr">
        <is>
          <t>%</t>
        </is>
      </c>
      <c r="C52" s="21">
        <f>IFERROR(IRR(C45:G45),"n/a")</f>
        <v/>
      </c>
    </row>
    <row r="53">
      <c r="A53" s="2" t="inlineStr">
        <is>
          <t>Payback year (cumulative net turns positive)</t>
        </is>
      </c>
      <c r="B53" s="2" t="inlineStr">
        <is>
          <t>year</t>
        </is>
      </c>
      <c r="C53" s="3">
        <f>IF(G48&lt;0,"Beyond 2030",2026+COUNTIF(C48:G48,"&lt;0"))</f>
        <v/>
      </c>
    </row>
    <row r="54">
      <c r="A54" s="2" t="inlineStr">
        <is>
          <t>Full run-rate savings (2025 prices)</t>
        </is>
      </c>
      <c r="B54" s="2" t="inlineStr">
        <is>
          <t>Rp B/yr</t>
        </is>
      </c>
      <c r="C54" s="79">
        <f>Assumptions!$B$8*(Assumptions!$B$22*Assumptions!C32+Assumptions!$B$20*Assumptions!C33+Assumptions!$B$18*Assumptions!$B$14*Assumptions!C34*Assumptions!$B$28+Assumptions!$B$19*Assumptions!C35)+Assumptions!$B$26*Assumptions!$B$27*Assumptions!C36</f>
        <v/>
      </c>
    </row>
    <row r="55">
      <c r="A55" s="2" t="inlineStr">
        <is>
          <t>Run-rate savings as % of conversion cost</t>
        </is>
      </c>
      <c r="B55" s="2" t="inlineStr">
        <is>
          <t>%</t>
        </is>
      </c>
      <c r="C55" s="21">
        <f>C54/Assumptions!$B$8</f>
        <v/>
      </c>
    </row>
    <row r="56">
      <c r="A56" s="2" t="inlineStr">
        <is>
          <t>Implied conversion cost index</t>
        </is>
      </c>
      <c r="B56" s="2" t="inlineStr">
        <is>
          <t>index</t>
        </is>
      </c>
      <c r="C56" s="53">
        <f>Assumptions!$B$12*(1-C55)</f>
        <v/>
      </c>
    </row>
    <row r="57">
      <c r="A57" s="2" t="inlineStr">
        <is>
          <t>Share of gap to benchmark closed</t>
        </is>
      </c>
      <c r="B57" s="2" t="inlineStr">
        <is>
          <t>%</t>
        </is>
      </c>
      <c r="C57" s="21">
        <f>(Assumptions!$B$12-C56)/(Assumptions!$B$12-Assumptions!$B$13)</f>
        <v/>
      </c>
    </row>
    <row r="58">
      <c r="A58" s="2" t="inlineStr">
        <is>
          <t>NPV incl. remaining equipment value at end-2030 (book)</t>
        </is>
      </c>
      <c r="B58" s="2" t="inlineStr">
        <is>
          <t>Rp B</t>
        </is>
      </c>
      <c r="C58" s="79">
        <f>C51+SUMPRODUCT(C42:G42,(Assumptions!$B$45:$F$45-0.5)/Assumptions!$B$11)/(1+Assumptions!$B$9)^Assumptions!$B$11</f>
        <v/>
      </c>
    </row>
    <row r="60">
      <c r="A60" s="35" t="inlineStr">
        <is>
          <t>Scenario: Optimistic</t>
        </is>
      </c>
    </row>
    <row r="61">
      <c r="A61" s="8" t="inlineStr">
        <is>
          <t>Line item</t>
        </is>
      </c>
      <c r="B61" s="8" t="inlineStr">
        <is>
          <t>Unit</t>
        </is>
      </c>
      <c r="C61" s="8" t="inlineStr">
        <is>
          <t>2026</t>
        </is>
      </c>
      <c r="D61" s="8" t="inlineStr">
        <is>
          <t>2027</t>
        </is>
      </c>
      <c r="E61" s="8" t="inlineStr">
        <is>
          <t>2028</t>
        </is>
      </c>
      <c r="F61" s="8" t="inlineStr">
        <is>
          <t>2029</t>
        </is>
      </c>
      <c r="G61" s="8" t="inlineStr">
        <is>
          <t>2030</t>
        </is>
      </c>
      <c r="H61" s="8" t="inlineStr">
        <is>
          <t>Total</t>
        </is>
      </c>
    </row>
    <row r="62">
      <c r="A62" s="2" t="inlineStr">
        <is>
          <t>Adoption ramp-up</t>
        </is>
      </c>
      <c r="B62" s="2" t="inlineStr">
        <is>
          <t>%</t>
        </is>
      </c>
      <c r="C62" s="36">
        <f>Assumptions!B$43</f>
        <v/>
      </c>
      <c r="D62" s="36">
        <f>Assumptions!C$43</f>
        <v/>
      </c>
      <c r="E62" s="36">
        <f>Assumptions!D$43</f>
        <v/>
      </c>
      <c r="F62" s="36">
        <f>Assumptions!E$43</f>
        <v/>
      </c>
      <c r="G62" s="36">
        <f>Assumptions!F$43</f>
        <v/>
      </c>
    </row>
    <row r="63">
      <c r="A63" s="2" t="inlineStr">
        <is>
          <t>Escalation factor</t>
        </is>
      </c>
      <c r="B63" s="2" t="inlineStr">
        <is>
          <t>x</t>
        </is>
      </c>
      <c r="C63" s="37">
        <f>(1+Assumptions!$B$10)^(Assumptions!B$45-1)</f>
        <v/>
      </c>
      <c r="D63" s="37">
        <f>(1+Assumptions!$B$10)^(Assumptions!C$45-1)</f>
        <v/>
      </c>
      <c r="E63" s="37">
        <f>(1+Assumptions!$B$10)^(Assumptions!D$45-1)</f>
        <v/>
      </c>
      <c r="F63" s="37">
        <f>(1+Assumptions!$B$10)^(Assumptions!E$45-1)</f>
        <v/>
      </c>
      <c r="G63" s="37">
        <f>(1+Assumptions!$B$10)^(Assumptions!F$45-1)</f>
        <v/>
      </c>
    </row>
    <row r="64">
      <c r="A64" s="2" t="inlineStr">
        <is>
          <t>Saving: scrap</t>
        </is>
      </c>
      <c r="B64" s="2" t="inlineStr">
        <is>
          <t>Rp B</t>
        </is>
      </c>
      <c r="C64" s="76">
        <f>Assumptions!$B$8*Assumptions!$B$22*Assumptions!$D$32*C62*C63</f>
        <v/>
      </c>
      <c r="D64" s="76">
        <f>Assumptions!$B$8*Assumptions!$B$22*Assumptions!$D$32*D62*D63</f>
        <v/>
      </c>
      <c r="E64" s="76">
        <f>Assumptions!$B$8*Assumptions!$B$22*Assumptions!$D$32*E62*E63</f>
        <v/>
      </c>
      <c r="F64" s="76">
        <f>Assumptions!$B$8*Assumptions!$B$22*Assumptions!$D$32*F62*F63</f>
        <v/>
      </c>
      <c r="G64" s="76">
        <f>Assumptions!$B$8*Assumptions!$B$22*Assumptions!$D$32*G62*G63</f>
        <v/>
      </c>
      <c r="H64" s="76">
        <f>SUM(C64:G64)</f>
        <v/>
      </c>
    </row>
    <row r="65">
      <c r="A65" s="2" t="inlineStr">
        <is>
          <t>Saving: maintenance / downtime</t>
        </is>
      </c>
      <c r="B65" s="2" t="inlineStr">
        <is>
          <t>Rp B</t>
        </is>
      </c>
      <c r="C65" s="76">
        <f>Assumptions!$B$8*Assumptions!$B$20*Assumptions!$D$33*C62*C63</f>
        <v/>
      </c>
      <c r="D65" s="76">
        <f>Assumptions!$B$8*Assumptions!$B$20*Assumptions!$D$33*D62*D63</f>
        <v/>
      </c>
      <c r="E65" s="76">
        <f>Assumptions!$B$8*Assumptions!$B$20*Assumptions!$D$33*E62*E63</f>
        <v/>
      </c>
      <c r="F65" s="76">
        <f>Assumptions!$B$8*Assumptions!$B$20*Assumptions!$D$33*F62*F63</f>
        <v/>
      </c>
      <c r="G65" s="76">
        <f>Assumptions!$B$8*Assumptions!$B$20*Assumptions!$D$33*G62*G63</f>
        <v/>
      </c>
      <c r="H65" s="76">
        <f>SUM(C65:G65)</f>
        <v/>
      </c>
    </row>
    <row r="66">
      <c r="A66" s="2" t="inlineStr">
        <is>
          <t>Saving: operator NVA time</t>
        </is>
      </c>
      <c r="B66" s="2" t="inlineStr">
        <is>
          <t>Rp B</t>
        </is>
      </c>
      <c r="C66" s="76">
        <f>Assumptions!$B$8*Assumptions!$B$18*Assumptions!$B$14*Assumptions!$D$34*Assumptions!$B$28*C62*C63</f>
        <v/>
      </c>
      <c r="D66" s="76">
        <f>Assumptions!$B$8*Assumptions!$B$18*Assumptions!$B$14*Assumptions!$D$34*Assumptions!$B$28*D62*D63</f>
        <v/>
      </c>
      <c r="E66" s="76">
        <f>Assumptions!$B$8*Assumptions!$B$18*Assumptions!$B$14*Assumptions!$D$34*Assumptions!$B$28*E62*E63</f>
        <v/>
      </c>
      <c r="F66" s="76">
        <f>Assumptions!$B$8*Assumptions!$B$18*Assumptions!$B$14*Assumptions!$D$34*Assumptions!$B$28*F62*F63</f>
        <v/>
      </c>
      <c r="G66" s="76">
        <f>Assumptions!$B$8*Assumptions!$B$18*Assumptions!$B$14*Assumptions!$D$34*Assumptions!$B$28*G62*G63</f>
        <v/>
      </c>
      <c r="H66" s="76">
        <f>SUM(C66:G66)</f>
        <v/>
      </c>
    </row>
    <row r="67">
      <c r="A67" s="2" t="inlineStr">
        <is>
          <t>Saving: energy</t>
        </is>
      </c>
      <c r="B67" s="2" t="inlineStr">
        <is>
          <t>Rp B</t>
        </is>
      </c>
      <c r="C67" s="76">
        <f>Assumptions!$B$8*Assumptions!$B$19*Assumptions!$D$35*C62*C63</f>
        <v/>
      </c>
      <c r="D67" s="76">
        <f>Assumptions!$B$8*Assumptions!$B$19*Assumptions!$D$35*D62*D63</f>
        <v/>
      </c>
      <c r="E67" s="76">
        <f>Assumptions!$B$8*Assumptions!$B$19*Assumptions!$D$35*E62*E63</f>
        <v/>
      </c>
      <c r="F67" s="76">
        <f>Assumptions!$B$8*Assumptions!$B$19*Assumptions!$D$35*F62*F63</f>
        <v/>
      </c>
      <c r="G67" s="76">
        <f>Assumptions!$B$8*Assumptions!$B$19*Assumptions!$D$35*G62*G63</f>
        <v/>
      </c>
      <c r="H67" s="76">
        <f>SUM(C67:G67)</f>
        <v/>
      </c>
    </row>
    <row r="68">
      <c r="A68" s="2" t="inlineStr">
        <is>
          <t>Saving: variant modification</t>
        </is>
      </c>
      <c r="B68" s="2" t="inlineStr">
        <is>
          <t>Rp B</t>
        </is>
      </c>
      <c r="C68" s="76">
        <f>Assumptions!$B$26*Assumptions!$B$27*Assumptions!$D$36*C62*C63</f>
        <v/>
      </c>
      <c r="D68" s="76">
        <f>Assumptions!$B$26*Assumptions!$B$27*Assumptions!$D$36*D62*D63</f>
        <v/>
      </c>
      <c r="E68" s="76">
        <f>Assumptions!$B$26*Assumptions!$B$27*Assumptions!$D$36*E62*E63</f>
        <v/>
      </c>
      <c r="F68" s="76">
        <f>Assumptions!$B$26*Assumptions!$B$27*Assumptions!$D$36*F62*F63</f>
        <v/>
      </c>
      <c r="G68" s="76">
        <f>Assumptions!$B$26*Assumptions!$B$27*Assumptions!$D$36*G62*G63</f>
        <v/>
      </c>
      <c r="H68" s="76">
        <f>SUM(C68:G68)</f>
        <v/>
      </c>
    </row>
    <row r="69">
      <c r="A69" s="3" t="inlineStr">
        <is>
          <t>Total gross savings</t>
        </is>
      </c>
      <c r="B69" s="2" t="inlineStr">
        <is>
          <t>Rp B</t>
        </is>
      </c>
      <c r="C69" s="79">
        <f>SUM(C64:C68)</f>
        <v/>
      </c>
      <c r="D69" s="79">
        <f>SUM(D64:D68)</f>
        <v/>
      </c>
      <c r="E69" s="79">
        <f>SUM(E64:E68)</f>
        <v/>
      </c>
      <c r="F69" s="79">
        <f>SUM(F64:F68)</f>
        <v/>
      </c>
      <c r="G69" s="79">
        <f>SUM(G64:G68)</f>
        <v/>
      </c>
      <c r="H69" s="79">
        <f>SUM(C69:G69)</f>
        <v/>
      </c>
    </row>
    <row r="70">
      <c r="A70" s="2" t="inlineStr">
        <is>
          <t>Investment (capex)</t>
        </is>
      </c>
      <c r="B70" s="2" t="inlineStr">
        <is>
          <t>Rp B</t>
        </is>
      </c>
      <c r="C70" s="76">
        <f>Assumptions!$D$37*Assumptions!B$44</f>
        <v/>
      </c>
      <c r="D70" s="76">
        <f>Assumptions!$D$37*Assumptions!C$44</f>
        <v/>
      </c>
      <c r="E70" s="76">
        <f>Assumptions!$D$37*Assumptions!D$44</f>
        <v/>
      </c>
      <c r="F70" s="76">
        <f>Assumptions!$D$37*Assumptions!E$44</f>
        <v/>
      </c>
      <c r="G70" s="76">
        <f>Assumptions!$D$37*Assumptions!F$44</f>
        <v/>
      </c>
      <c r="H70" s="76">
        <f>SUM(C70:G70)</f>
        <v/>
      </c>
    </row>
    <row r="71">
      <c r="A71" s="2" t="inlineStr">
        <is>
          <t>Cumulative investment</t>
        </is>
      </c>
      <c r="B71" s="2" t="inlineStr">
        <is>
          <t>Rp B</t>
        </is>
      </c>
      <c r="C71" s="76">
        <f>SUM($C70:C70)</f>
        <v/>
      </c>
      <c r="D71" s="76">
        <f>SUM($C70:D70)</f>
        <v/>
      </c>
      <c r="E71" s="76">
        <f>SUM($C70:E70)</f>
        <v/>
      </c>
      <c r="F71" s="76">
        <f>SUM($C70:F70)</f>
        <v/>
      </c>
      <c r="G71" s="76">
        <f>SUM($C70:G70)</f>
        <v/>
      </c>
    </row>
    <row r="72">
      <c r="A72" s="2" t="inlineStr">
        <is>
          <t>Running + training cost</t>
        </is>
      </c>
      <c r="B72" s="2" t="inlineStr">
        <is>
          <t>Rp B</t>
        </is>
      </c>
      <c r="C72" s="76">
        <f>C71*Assumptions!$D$38+Assumptions!$D$39</f>
        <v/>
      </c>
      <c r="D72" s="76">
        <f>D71*Assumptions!$D$38+Assumptions!$D$39</f>
        <v/>
      </c>
      <c r="E72" s="76">
        <f>E71*Assumptions!$D$38+Assumptions!$D$39</f>
        <v/>
      </c>
      <c r="F72" s="76">
        <f>F71*Assumptions!$D$38+Assumptions!$D$39</f>
        <v/>
      </c>
      <c r="G72" s="76">
        <f>G71*Assumptions!$D$38+Assumptions!$D$39</f>
        <v/>
      </c>
      <c r="H72" s="76">
        <f>SUM(C72:G72)</f>
        <v/>
      </c>
    </row>
    <row r="73">
      <c r="A73" s="3" t="inlineStr">
        <is>
          <t>Net cash flow</t>
        </is>
      </c>
      <c r="B73" s="2" t="inlineStr">
        <is>
          <t>Rp B</t>
        </is>
      </c>
      <c r="C73" s="79">
        <f>C69-C70-C72</f>
        <v/>
      </c>
      <c r="D73" s="79">
        <f>D69-D70-D72</f>
        <v/>
      </c>
      <c r="E73" s="79">
        <f>E69-E70-E72</f>
        <v/>
      </c>
      <c r="F73" s="79">
        <f>F69-F70-F72</f>
        <v/>
      </c>
      <c r="G73" s="79">
        <f>G69-G70-G72</f>
        <v/>
      </c>
      <c r="H73" s="79">
        <f>SUM(C73:G73)</f>
        <v/>
      </c>
    </row>
    <row r="74">
      <c r="A74" s="2" t="inlineStr">
        <is>
          <t>Discount factor</t>
        </is>
      </c>
      <c r="B74" s="2" t="inlineStr">
        <is>
          <t>x</t>
        </is>
      </c>
      <c r="C74" s="37">
        <f>1/(1+Assumptions!$B$9)^Assumptions!B$45</f>
        <v/>
      </c>
      <c r="D74" s="37">
        <f>1/(1+Assumptions!$B$9)^Assumptions!C$45</f>
        <v/>
      </c>
      <c r="E74" s="37">
        <f>1/(1+Assumptions!$B$9)^Assumptions!D$45</f>
        <v/>
      </c>
      <c r="F74" s="37">
        <f>1/(1+Assumptions!$B$9)^Assumptions!E$45</f>
        <v/>
      </c>
      <c r="G74" s="37">
        <f>1/(1+Assumptions!$B$9)^Assumptions!F$45</f>
        <v/>
      </c>
    </row>
    <row r="75">
      <c r="A75" s="3" t="inlineStr">
        <is>
          <t>Present value</t>
        </is>
      </c>
      <c r="B75" s="2" t="inlineStr">
        <is>
          <t>Rp B</t>
        </is>
      </c>
      <c r="C75" s="79">
        <f>C73*C74</f>
        <v/>
      </c>
      <c r="D75" s="79">
        <f>D73*D74</f>
        <v/>
      </c>
      <c r="E75" s="79">
        <f>E73*E74</f>
        <v/>
      </c>
      <c r="F75" s="79">
        <f>F73*F74</f>
        <v/>
      </c>
      <c r="G75" s="79">
        <f>G73*G74</f>
        <v/>
      </c>
      <c r="H75" s="79">
        <f>SUM(C75:G75)</f>
        <v/>
      </c>
    </row>
    <row r="76">
      <c r="A76" s="2" t="inlineStr">
        <is>
          <t>Cumulative net cash flow</t>
        </is>
      </c>
      <c r="B76" s="2" t="inlineStr">
        <is>
          <t>Rp B</t>
        </is>
      </c>
      <c r="C76" s="76">
        <f>SUM($C73:C73)</f>
        <v/>
      </c>
      <c r="D76" s="76">
        <f>SUM($C73:D73)</f>
        <v/>
      </c>
      <c r="E76" s="76">
        <f>SUM($C73:E73)</f>
        <v/>
      </c>
      <c r="F76" s="76">
        <f>SUM($C73:F73)</f>
        <v/>
      </c>
      <c r="G76" s="76">
        <f>SUM($C73:G73)</f>
        <v/>
      </c>
    </row>
    <row r="78">
      <c r="A78" s="16" t="inlineStr">
        <is>
          <t>Outputs</t>
        </is>
      </c>
    </row>
    <row r="79">
      <c r="A79" s="2" t="inlineStr">
        <is>
          <t>NPV @ discount rate</t>
        </is>
      </c>
      <c r="B79" s="2" t="inlineStr">
        <is>
          <t>Rp B</t>
        </is>
      </c>
      <c r="C79" s="79">
        <f>SUM(C75:G75)</f>
        <v/>
      </c>
    </row>
    <row r="80">
      <c r="A80" s="2" t="inlineStr">
        <is>
          <t>IRR</t>
        </is>
      </c>
      <c r="B80" s="2" t="inlineStr">
        <is>
          <t>%</t>
        </is>
      </c>
      <c r="C80" s="21">
        <f>IFERROR(IRR(C73:G73),"n/a")</f>
        <v/>
      </c>
    </row>
    <row r="81">
      <c r="A81" s="2" t="inlineStr">
        <is>
          <t>Payback year (cumulative net turns positive)</t>
        </is>
      </c>
      <c r="B81" s="2" t="inlineStr">
        <is>
          <t>year</t>
        </is>
      </c>
      <c r="C81" s="3">
        <f>IF(G76&lt;0,"Beyond 2030",2026+COUNTIF(C76:G76,"&lt;0"))</f>
        <v/>
      </c>
    </row>
    <row r="82">
      <c r="A82" s="2" t="inlineStr">
        <is>
          <t>Full run-rate savings (2025 prices)</t>
        </is>
      </c>
      <c r="B82" s="2" t="inlineStr">
        <is>
          <t>Rp B/yr</t>
        </is>
      </c>
      <c r="C82" s="79">
        <f>Assumptions!$B$8*(Assumptions!$B$22*Assumptions!D32+Assumptions!$B$20*Assumptions!D33+Assumptions!$B$18*Assumptions!$B$14*Assumptions!D34*Assumptions!$B$28+Assumptions!$B$19*Assumptions!D35)+Assumptions!$B$26*Assumptions!$B$27*Assumptions!D36</f>
        <v/>
      </c>
    </row>
    <row r="83">
      <c r="A83" s="2" t="inlineStr">
        <is>
          <t>Run-rate savings as % of conversion cost</t>
        </is>
      </c>
      <c r="B83" s="2" t="inlineStr">
        <is>
          <t>%</t>
        </is>
      </c>
      <c r="C83" s="21">
        <f>C82/Assumptions!$B$8</f>
        <v/>
      </c>
    </row>
    <row r="84">
      <c r="A84" s="2" t="inlineStr">
        <is>
          <t>Implied conversion cost index</t>
        </is>
      </c>
      <c r="B84" s="2" t="inlineStr">
        <is>
          <t>index</t>
        </is>
      </c>
      <c r="C84" s="53">
        <f>Assumptions!$B$12*(1-C83)</f>
        <v/>
      </c>
    </row>
    <row r="85">
      <c r="A85" s="2" t="inlineStr">
        <is>
          <t>Share of gap to benchmark closed</t>
        </is>
      </c>
      <c r="B85" s="2" t="inlineStr">
        <is>
          <t>%</t>
        </is>
      </c>
      <c r="C85" s="21">
        <f>(Assumptions!$B$12-C84)/(Assumptions!$B$12-Assumptions!$B$13)</f>
        <v/>
      </c>
    </row>
    <row r="86">
      <c r="A86" s="2" t="inlineStr">
        <is>
          <t>NPV incl. remaining equipment value at end-2030 (book)</t>
        </is>
      </c>
      <c r="B86" s="2" t="inlineStr">
        <is>
          <t>Rp B</t>
        </is>
      </c>
      <c r="C86" s="79">
        <f>C79+SUMPRODUCT(C70:G70,(Assumptions!$B$45:$F$45-0.5)/Assumptions!$B$11)/(1+Assumptions!$B$9)^Assumptions!$B$11</f>
        <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40" customWidth="1" min="1" max="1"/>
    <col width="14" customWidth="1" min="2" max="2"/>
    <col width="14" customWidth="1" min="3" max="3"/>
    <col width="14" customWidth="1" min="4" max="4"/>
    <col width="12" customWidth="1" min="5" max="5"/>
    <col width="12" customWidth="1" min="6" max="6"/>
  </cols>
  <sheetData>
    <row r="1">
      <c r="A1" s="1" t="inlineStr">
        <is>
          <t>Financial summary for the deck (Rp billion)</t>
        </is>
      </c>
    </row>
    <row r="3">
      <c r="A3" s="8" t="inlineStr">
        <is>
          <t>Metric</t>
        </is>
      </c>
      <c r="B3" s="8" t="inlineStr">
        <is>
          <t>Conservative</t>
        </is>
      </c>
      <c r="C3" s="8" t="inlineStr">
        <is>
          <t>Base</t>
        </is>
      </c>
      <c r="D3" s="8" t="inlineStr">
        <is>
          <t>Optimistic</t>
        </is>
      </c>
    </row>
    <row r="4">
      <c r="A4" s="3" t="inlineStr">
        <is>
          <t>NPV (10%)</t>
        </is>
      </c>
      <c r="B4" s="80">
        <f>Model!C23</f>
        <v/>
      </c>
      <c r="C4" s="80">
        <f>Model!C51</f>
        <v/>
      </c>
      <c r="D4" s="80">
        <f>Model!C79</f>
        <v/>
      </c>
    </row>
    <row r="5">
      <c r="A5" s="3" t="inlineStr">
        <is>
          <t>IRR</t>
        </is>
      </c>
      <c r="B5" s="36">
        <f>Model!C24</f>
        <v/>
      </c>
      <c r="C5" s="36">
        <f>Model!C52</f>
        <v/>
      </c>
      <c r="D5" s="36">
        <f>Model!C80</f>
        <v/>
      </c>
    </row>
    <row r="6">
      <c r="A6" s="3" t="inlineStr">
        <is>
          <t>Payback year</t>
        </is>
      </c>
      <c r="B6" s="5">
        <f>Model!C25</f>
        <v/>
      </c>
      <c r="C6" s="5">
        <f>Model!C53</f>
        <v/>
      </c>
      <c r="D6" s="5">
        <f>Model!C81</f>
        <v/>
      </c>
    </row>
    <row r="7">
      <c r="A7" s="3" t="inlineStr">
        <is>
          <t>Gross savings in 2030</t>
        </is>
      </c>
      <c r="B7" s="80">
        <f>Model!G13</f>
        <v/>
      </c>
      <c r="C7" s="80">
        <f>Model!G41</f>
        <v/>
      </c>
      <c r="D7" s="80">
        <f>Model!G69</f>
        <v/>
      </c>
    </row>
    <row r="8">
      <c r="A8" s="3" t="inlineStr">
        <is>
          <t>Full run-rate savings / yr</t>
        </is>
      </c>
      <c r="B8" s="80">
        <f>Model!C26</f>
        <v/>
      </c>
      <c r="C8" s="80">
        <f>Model!C54</f>
        <v/>
      </c>
      <c r="D8" s="80">
        <f>Model!C82</f>
        <v/>
      </c>
    </row>
    <row r="9">
      <c r="A9" s="3" t="inlineStr">
        <is>
          <t>Run-rate as % of conversion cost</t>
        </is>
      </c>
      <c r="B9" s="36">
        <f>Model!C27</f>
        <v/>
      </c>
      <c r="C9" s="36">
        <f>Model!C55</f>
        <v/>
      </c>
      <c r="D9" s="36">
        <f>Model!C83</f>
        <v/>
      </c>
    </row>
    <row r="10">
      <c r="A10" s="3" t="inlineStr">
        <is>
          <t>Implied cost index (today 106)</t>
        </is>
      </c>
      <c r="B10" s="81">
        <f>Model!C28</f>
        <v/>
      </c>
      <c r="C10" s="81">
        <f>Model!C56</f>
        <v/>
      </c>
      <c r="D10" s="81">
        <f>Model!C84</f>
        <v/>
      </c>
    </row>
    <row r="11">
      <c r="A11" s="3" t="inlineStr">
        <is>
          <t>Gap to new-player benchmark closed</t>
        </is>
      </c>
      <c r="B11" s="36">
        <f>Model!C29</f>
        <v/>
      </c>
      <c r="C11" s="36">
        <f>Model!C57</f>
        <v/>
      </c>
      <c r="D11" s="36">
        <f>Model!C85</f>
        <v/>
      </c>
    </row>
    <row r="12">
      <c r="A12" s="3" t="inlineStr">
        <is>
          <t>NPV incl. remaining equipment value</t>
        </is>
      </c>
      <c r="B12" s="80">
        <f>Model!C30</f>
        <v/>
      </c>
      <c r="C12" s="80">
        <f>Model!C58</f>
        <v/>
      </c>
      <c r="D12" s="80">
        <f>Model!C86</f>
        <v/>
      </c>
    </row>
    <row r="13">
      <c r="A13" s="3" t="inlineStr">
        <is>
          <t>Investment (Rp B)</t>
        </is>
      </c>
      <c r="B13" s="80">
        <f>Assumptions!B37</f>
        <v/>
      </c>
      <c r="C13" s="80">
        <f>Assumptions!C37</f>
        <v/>
      </c>
      <c r="D13" s="80">
        <f>Assumptions!D37</f>
        <v/>
      </c>
    </row>
    <row r="14">
      <c r="A14" s="3" t="inlineStr">
        <is>
          <t>Variant modification time (months, today 9)</t>
        </is>
      </c>
      <c r="B14" s="81">
        <f>Assumptions!B40</f>
        <v/>
      </c>
      <c r="C14" s="81">
        <f>Assumptions!C40</f>
        <v/>
      </c>
      <c r="D14" s="81">
        <f>Assumptions!D40</f>
        <v/>
      </c>
    </row>
    <row r="15">
      <c r="A15" s="3" t="inlineStr">
        <is>
          <t>Note: with pilot-light phasing the 2026 outflow is small, so IRR looks extreme. Lead with NPV and P(NPV&gt;0) from the Simulation tab, not IRR.</t>
        </is>
      </c>
    </row>
    <row r="16">
      <c r="A16" s="8" t="inlineStr">
        <is>
          <t>Base case savings by lever</t>
        </is>
      </c>
      <c r="B16" s="8" t="inlineStr">
        <is>
          <t>2026</t>
        </is>
      </c>
      <c r="C16" s="8" t="inlineStr">
        <is>
          <t>2027</t>
        </is>
      </c>
      <c r="D16" s="8" t="inlineStr">
        <is>
          <t>2028</t>
        </is>
      </c>
      <c r="E16" s="8" t="inlineStr">
        <is>
          <t>2029</t>
        </is>
      </c>
      <c r="F16" s="8" t="inlineStr">
        <is>
          <t>2030</t>
        </is>
      </c>
    </row>
    <row r="17">
      <c r="A17" s="2" t="inlineStr">
        <is>
          <t>Scrap</t>
        </is>
      </c>
      <c r="B17" s="80">
        <f>Model!C36</f>
        <v/>
      </c>
      <c r="C17" s="80">
        <f>Model!D36</f>
        <v/>
      </c>
      <c r="D17" s="80">
        <f>Model!E36</f>
        <v/>
      </c>
      <c r="E17" s="80">
        <f>Model!F36</f>
        <v/>
      </c>
      <c r="F17" s="80">
        <f>Model!G36</f>
        <v/>
      </c>
    </row>
    <row r="18">
      <c r="A18" s="2" t="inlineStr">
        <is>
          <t>Maintenance</t>
        </is>
      </c>
      <c r="B18" s="80">
        <f>Model!C37</f>
        <v/>
      </c>
      <c r="C18" s="80">
        <f>Model!D37</f>
        <v/>
      </c>
      <c r="D18" s="80">
        <f>Model!E37</f>
        <v/>
      </c>
      <c r="E18" s="80">
        <f>Model!F37</f>
        <v/>
      </c>
      <c r="F18" s="80">
        <f>Model!G37</f>
        <v/>
      </c>
    </row>
    <row r="19">
      <c r="A19" s="2" t="inlineStr">
        <is>
          <t>Operator NVA</t>
        </is>
      </c>
      <c r="B19" s="80">
        <f>Model!C38</f>
        <v/>
      </c>
      <c r="C19" s="80">
        <f>Model!D38</f>
        <v/>
      </c>
      <c r="D19" s="80">
        <f>Model!E38</f>
        <v/>
      </c>
      <c r="E19" s="80">
        <f>Model!F38</f>
        <v/>
      </c>
      <c r="F19" s="80">
        <f>Model!G38</f>
        <v/>
      </c>
    </row>
    <row r="20">
      <c r="A20" s="2" t="inlineStr">
        <is>
          <t>Energy</t>
        </is>
      </c>
      <c r="B20" s="80">
        <f>Model!C39</f>
        <v/>
      </c>
      <c r="C20" s="80">
        <f>Model!D39</f>
        <v/>
      </c>
      <c r="D20" s="80">
        <f>Model!E39</f>
        <v/>
      </c>
      <c r="E20" s="80">
        <f>Model!F39</f>
        <v/>
      </c>
      <c r="F20" s="80">
        <f>Model!G39</f>
        <v/>
      </c>
    </row>
    <row r="21">
      <c r="A21" s="2" t="inlineStr">
        <is>
          <t>Variant modification</t>
        </is>
      </c>
      <c r="B21" s="80">
        <f>Model!C40</f>
        <v/>
      </c>
      <c r="C21" s="80">
        <f>Model!D40</f>
        <v/>
      </c>
      <c r="D21" s="80">
        <f>Model!E40</f>
        <v/>
      </c>
      <c r="E21" s="80">
        <f>Model!F40</f>
        <v/>
      </c>
      <c r="F21" s="80">
        <f>Model!G40</f>
        <v/>
      </c>
    </row>
  </sheetData>
  <pageMargins left="0.75" right="0.75" top="1" bottom="1" header="0.5" footer="0.5"/>
  <drawing xmlns:r="http://schemas.openxmlformats.org/officeDocument/2006/relationships" r:id="rId1"/>
</worksheet>
</file>

<file path=xl/worksheets/sheet19.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46" customWidth="1" min="1" max="1"/>
    <col width="22" customWidth="1" min="2" max="2"/>
    <col width="18" customWidth="1" min="3" max="3"/>
    <col width="26" customWidth="1" min="4" max="4"/>
    <col width="12" customWidth="1" min="5" max="5"/>
    <col width="12" customWidth="1" min="6" max="6"/>
    <col width="12" customWidth="1" min="7" max="7"/>
  </cols>
  <sheetData>
    <row r="1">
      <c r="A1" s="1" t="inlineStr">
        <is>
          <t>How much saving pays back the program?</t>
        </is>
      </c>
    </row>
    <row r="2">
      <c r="A2" s="2" t="inlineStr">
        <is>
          <t>Simplified: investment at start, steady savings from year 1 growing with escalation, no running cost.</t>
        </is>
      </c>
    </row>
    <row r="4">
      <c r="A4" s="2" t="inlineStr">
        <is>
          <t>Discount rate</t>
        </is>
      </c>
      <c r="B4" s="36">
        <f>Assumptions!B9</f>
        <v/>
      </c>
    </row>
    <row r="5">
      <c r="A5" s="2" t="inlineStr">
        <is>
          <t>Savings growth (escalation)</t>
        </is>
      </c>
      <c r="B5" s="36">
        <f>Assumptions!B10</f>
        <v/>
      </c>
    </row>
    <row r="6">
      <c r="A6" s="2" t="inlineStr">
        <is>
          <t>Years</t>
        </is>
      </c>
      <c r="B6" s="5">
        <f>Assumptions!B11</f>
        <v/>
      </c>
    </row>
    <row r="7">
      <c r="A7" s="3" t="inlineStr">
        <is>
          <t>Growing annuity factor (PV of Rp1 first-year saving)</t>
        </is>
      </c>
      <c r="B7" s="41">
        <f>(1-((1+B5)/(1+B4))^B6)/(B4-B5)</f>
        <v/>
      </c>
    </row>
    <row r="8">
      <c r="A8" s="2" t="inlineStr">
        <is>
          <t>Annual conversion cost (Rp B)</t>
        </is>
      </c>
      <c r="B8" s="80">
        <f>Assumptions!B8</f>
        <v/>
      </c>
    </row>
    <row r="10">
      <c r="A10" s="8" t="inlineStr">
        <is>
          <t>Investment (Rp B)</t>
        </is>
      </c>
      <c r="B10" s="8" t="inlineStr">
        <is>
          <t>Break-even first-year saving (Rp B)</t>
        </is>
      </c>
      <c r="C10" s="8" t="inlineStr">
        <is>
          <t>% of conversion cost</t>
        </is>
      </c>
      <c r="D10" s="8" t="inlineStr">
        <is>
          <t>Share of gap to benchmark that must close</t>
        </is>
      </c>
    </row>
    <row r="11">
      <c r="A11" s="73" t="n">
        <v>40</v>
      </c>
      <c r="B11" s="76">
        <f>A11/$B$7</f>
        <v/>
      </c>
      <c r="C11" s="28">
        <f>B11/$B$8</f>
        <v/>
      </c>
      <c r="D11" s="28">
        <f>C11*Assumptions!$B$12/(Assumptions!$B$12-Assumptions!$B$13)</f>
        <v/>
      </c>
    </row>
    <row r="12">
      <c r="A12" s="73" t="n">
        <v>60</v>
      </c>
      <c r="B12" s="76">
        <f>A12/$B$7</f>
        <v/>
      </c>
      <c r="C12" s="28">
        <f>B12/$B$8</f>
        <v/>
      </c>
      <c r="D12" s="28">
        <f>C12*Assumptions!$B$12/(Assumptions!$B$12-Assumptions!$B$13)</f>
        <v/>
      </c>
    </row>
    <row r="13">
      <c r="A13" s="73" t="n">
        <v>80</v>
      </c>
      <c r="B13" s="76">
        <f>A13/$B$7</f>
        <v/>
      </c>
      <c r="C13" s="28">
        <f>B13/$B$8</f>
        <v/>
      </c>
      <c r="D13" s="28">
        <f>C13*Assumptions!$B$12/(Assumptions!$B$12-Assumptions!$B$13)</f>
        <v/>
      </c>
    </row>
    <row r="14">
      <c r="A14" s="73" t="n">
        <v>100</v>
      </c>
      <c r="B14" s="76">
        <f>A14/$B$7</f>
        <v/>
      </c>
      <c r="C14" s="28">
        <f>B14/$B$8</f>
        <v/>
      </c>
      <c r="D14" s="28">
        <f>C14*Assumptions!$B$12/(Assumptions!$B$12-Assumptions!$B$13)</f>
        <v/>
      </c>
    </row>
    <row r="15">
      <c r="A15" s="73" t="n">
        <v>120</v>
      </c>
      <c r="B15" s="76">
        <f>A15/$B$7</f>
        <v/>
      </c>
      <c r="C15" s="28">
        <f>B15/$B$8</f>
        <v/>
      </c>
      <c r="D15" s="28">
        <f>C15*Assumptions!$B$12/(Assumptions!$B$12-Assumptions!$B$13)</f>
        <v/>
      </c>
    </row>
    <row r="17">
      <c r="A17" s="2" t="inlineStr">
        <is>
          <t>Reading: if break-even needs only a small share of the gap closed, the case for investing is strong.</t>
        </is>
      </c>
    </row>
    <row r="19">
      <c r="A19" s="3" t="inlineStr">
        <is>
          <t>NPV sensitivity grid (simplified): rows = investment, columns = first-year savings (Rp B)</t>
        </is>
      </c>
    </row>
    <row r="20">
      <c r="A20" s="42" t="inlineStr">
        <is>
          <t>Invest \ Savings</t>
        </is>
      </c>
      <c r="B20" s="82" t="n">
        <v>10</v>
      </c>
      <c r="C20" s="82" t="n">
        <v>20</v>
      </c>
      <c r="D20" s="82" t="n">
        <v>30</v>
      </c>
      <c r="E20" s="82" t="n">
        <v>40</v>
      </c>
      <c r="F20" s="82" t="n">
        <v>50</v>
      </c>
      <c r="G20" s="82" t="n">
        <v>60</v>
      </c>
    </row>
    <row r="21">
      <c r="A21" s="82" t="n">
        <v>40</v>
      </c>
      <c r="B21" s="83">
        <f>B$20*$B$7-$A21</f>
        <v/>
      </c>
      <c r="C21" s="83">
        <f>C$20*$B$7-$A21</f>
        <v/>
      </c>
      <c r="D21" s="83">
        <f>D$20*$B$7-$A21</f>
        <v/>
      </c>
      <c r="E21" s="83">
        <f>E$20*$B$7-$A21</f>
        <v/>
      </c>
      <c r="F21" s="83">
        <f>F$20*$B$7-$A21</f>
        <v/>
      </c>
      <c r="G21" s="83">
        <f>G$20*$B$7-$A21</f>
        <v/>
      </c>
    </row>
    <row r="22">
      <c r="A22" s="82" t="n">
        <v>60</v>
      </c>
      <c r="B22" s="83">
        <f>B$20*$B$7-$A22</f>
        <v/>
      </c>
      <c r="C22" s="83">
        <f>C$20*$B$7-$A22</f>
        <v/>
      </c>
      <c r="D22" s="83">
        <f>D$20*$B$7-$A22</f>
        <v/>
      </c>
      <c r="E22" s="83">
        <f>E$20*$B$7-$A22</f>
        <v/>
      </c>
      <c r="F22" s="83">
        <f>F$20*$B$7-$A22</f>
        <v/>
      </c>
      <c r="G22" s="83">
        <f>G$20*$B$7-$A22</f>
        <v/>
      </c>
    </row>
    <row r="23">
      <c r="A23" s="82" t="n">
        <v>80</v>
      </c>
      <c r="B23" s="83">
        <f>B$20*$B$7-$A23</f>
        <v/>
      </c>
      <c r="C23" s="83">
        <f>C$20*$B$7-$A23</f>
        <v/>
      </c>
      <c r="D23" s="83">
        <f>D$20*$B$7-$A23</f>
        <v/>
      </c>
      <c r="E23" s="83">
        <f>E$20*$B$7-$A23</f>
        <v/>
      </c>
      <c r="F23" s="83">
        <f>F$20*$B$7-$A23</f>
        <v/>
      </c>
      <c r="G23" s="83">
        <f>G$20*$B$7-$A23</f>
        <v/>
      </c>
    </row>
    <row r="24">
      <c r="A24" s="82" t="n">
        <v>100</v>
      </c>
      <c r="B24" s="83">
        <f>B$20*$B$7-$A24</f>
        <v/>
      </c>
      <c r="C24" s="83">
        <f>C$20*$B$7-$A24</f>
        <v/>
      </c>
      <c r="D24" s="83">
        <f>D$20*$B$7-$A24</f>
        <v/>
      </c>
      <c r="E24" s="83">
        <f>E$20*$B$7-$A24</f>
        <v/>
      </c>
      <c r="F24" s="83">
        <f>F$20*$B$7-$A24</f>
        <v/>
      </c>
      <c r="G24" s="83">
        <f>G$20*$B$7-$A24</f>
        <v/>
      </c>
    </row>
    <row r="25">
      <c r="A25" s="82" t="n">
        <v>120</v>
      </c>
      <c r="B25" s="83">
        <f>B$20*$B$7-$A25</f>
        <v/>
      </c>
      <c r="C25" s="83">
        <f>C$20*$B$7-$A25</f>
        <v/>
      </c>
      <c r="D25" s="83">
        <f>D$20*$B$7-$A25</f>
        <v/>
      </c>
      <c r="E25" s="83">
        <f>E$20*$B$7-$A25</f>
        <v/>
      </c>
      <c r="F25" s="83">
        <f>F$20*$B$7-$A25</f>
        <v/>
      </c>
      <c r="G25" s="83">
        <f>G$20*$B$7-$A25</f>
        <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cols>
    <col width="52" customWidth="1" min="1" max="1"/>
    <col width="13" customWidth="1" min="2" max="2"/>
    <col width="13" customWidth="1" min="3" max="3"/>
    <col width="13" customWidth="1" min="4" max="4"/>
    <col width="13" customWidth="1" min="5" max="5"/>
    <col width="13" customWidth="1" min="6" max="6"/>
    <col width="13" customWidth="1" min="7" max="7"/>
  </cols>
  <sheetData>
    <row r="1">
      <c r="A1" s="1" t="inlineStr">
        <is>
          <t>Workforce capability &amp; engineer time model (SQ3 / SQ4 workforce impact)</t>
        </is>
      </c>
    </row>
    <row r="2">
      <c r="A2" s="2" t="inlineStr">
        <is>
          <t>Formulas only. Starting points from Exhibits 6A and 7; yellow cells are academy / knowledge assumptions to defend.</t>
        </is>
      </c>
    </row>
    <row r="4">
      <c r="A4" s="8" t="inlineStr">
        <is>
          <t>Academy assumption</t>
        </is>
      </c>
      <c r="B4" s="8" t="inlineStr">
        <is>
          <t>Value</t>
        </is>
      </c>
      <c r="C4" s="8" t="inlineStr">
        <is>
          <t>Note</t>
        </is>
      </c>
    </row>
    <row r="5">
      <c r="A5" s="2" t="inlineStr">
        <is>
          <t>Promotion rate L1 -&gt; L2 per year</t>
        </is>
      </c>
      <c r="B5" s="24" t="n">
        <v>0.3</v>
      </c>
      <c r="C5" s="2" t="inlineStr">
        <is>
          <t>Share of L1 engineers reaching L2 each year via academy cohort</t>
        </is>
      </c>
    </row>
    <row r="6">
      <c r="A6" s="2" t="inlineStr">
        <is>
          <t>Promotion rate L2 -&gt; L3 per year</t>
        </is>
      </c>
      <c r="B6" s="24" t="n">
        <v>0.2</v>
      </c>
      <c r="C6" s="2" t="inlineStr">
        <is>
          <t>Needs project-based learning in the pilot</t>
        </is>
      </c>
    </row>
    <row r="7">
      <c r="A7" s="2" t="inlineStr">
        <is>
          <t>Promotion rate L3 -&gt; L4 per year</t>
        </is>
      </c>
      <c r="B7" s="24" t="n">
        <v>0.1</v>
      </c>
      <c r="C7" s="2" t="inlineStr">
        <is>
          <t>Expert level; partner / university collaboration</t>
        </is>
      </c>
    </row>
    <row r="8">
      <c r="A8" s="2" t="inlineStr">
        <is>
          <t>Annual cut in routine-support share (pct points)</t>
        </is>
      </c>
      <c r="B8" s="24" t="n">
        <v>0.04</v>
      </c>
      <c r="C8" s="2" t="inlineStr">
        <is>
          <t>From knowledge base + citizen tools absorbing troubleshooting</t>
        </is>
      </c>
    </row>
    <row r="9">
      <c r="A9" s="2" t="inlineStr">
        <is>
          <t>Floor for routine-support share</t>
        </is>
      </c>
      <c r="B9" s="24" t="n">
        <v>0.45</v>
      </c>
      <c r="C9" s="2" t="inlineStr">
        <is>
          <t>Some routine work always remains</t>
        </is>
      </c>
    </row>
    <row r="10">
      <c r="A10" s="2" t="inlineStr">
        <is>
          <t>Engineer working hours per year</t>
        </is>
      </c>
      <c r="B10" s="32" t="n">
        <v>1800</v>
      </c>
      <c r="C10" s="2" t="inlineStr">
        <is>
          <t>Per engineer</t>
        </is>
      </c>
    </row>
    <row r="11">
      <c r="A11" s="2" t="inlineStr">
        <is>
          <t>Engineers in production engineering team</t>
        </is>
      </c>
      <c r="B11" s="32" t="n">
        <v>30</v>
      </c>
      <c r="C11" s="2" t="inlineStr">
        <is>
          <t>Exhibit 7: N = 30 per field</t>
        </is>
      </c>
    </row>
    <row r="12">
      <c r="A12" s="2" t="inlineStr">
        <is>
          <t>Annual rise in critical know-how documented (pct points)</t>
        </is>
      </c>
      <c r="B12" s="24" t="n">
        <v>0.1</v>
      </c>
      <c r="C12" s="2" t="inlineStr">
        <is>
          <t>Knowledge capture sprints with seniors</t>
        </is>
      </c>
    </row>
    <row r="13">
      <c r="A13" s="2" t="inlineStr">
        <is>
          <t>Ramp-up months saved per +10 pts documented know-how</t>
        </is>
      </c>
      <c r="B13" s="32" t="n">
        <v>1.2</v>
      </c>
      <c r="C13" s="2" t="inlineStr">
        <is>
          <t>Assumption: tested in pilot cohort</t>
        </is>
      </c>
    </row>
    <row r="15">
      <c r="A15" s="8" t="inlineStr">
        <is>
          <t>Software &amp; AI (members per level)</t>
        </is>
      </c>
      <c r="B15" s="8" t="inlineStr">
        <is>
          <t>2025</t>
        </is>
      </c>
      <c r="C15" s="8" t="inlineStr">
        <is>
          <t>2026</t>
        </is>
      </c>
      <c r="D15" s="8" t="inlineStr">
        <is>
          <t>2027</t>
        </is>
      </c>
      <c r="E15" s="8" t="inlineStr">
        <is>
          <t>2028</t>
        </is>
      </c>
      <c r="F15" s="8" t="inlineStr">
        <is>
          <t>2029</t>
        </is>
      </c>
      <c r="G15" s="8" t="inlineStr">
        <is>
          <t>2030</t>
        </is>
      </c>
    </row>
    <row r="16">
      <c r="A16" s="2" t="inlineStr">
        <is>
          <t>Level 1 basic</t>
        </is>
      </c>
      <c r="B16" s="84" t="n">
        <v>20</v>
      </c>
      <c r="C16" s="78">
        <f>B16*(1-$B$5)</f>
        <v/>
      </c>
      <c r="D16" s="78">
        <f>C16*(1-$B$5)</f>
        <v/>
      </c>
      <c r="E16" s="78">
        <f>D16*(1-$B$5)</f>
        <v/>
      </c>
      <c r="F16" s="78">
        <f>E16*(1-$B$5)</f>
        <v/>
      </c>
      <c r="G16" s="78">
        <f>F16*(1-$B$5)</f>
        <v/>
      </c>
    </row>
    <row r="17">
      <c r="A17" s="2" t="inlineStr">
        <is>
          <t>Level 2 intermediate</t>
        </is>
      </c>
      <c r="B17" s="84" t="n">
        <v>8</v>
      </c>
      <c r="C17" s="78">
        <f>B17*(1-$B$6)+B16*$B$5</f>
        <v/>
      </c>
      <c r="D17" s="78">
        <f>C17*(1-$B$6)+C16*$B$5</f>
        <v/>
      </c>
      <c r="E17" s="78">
        <f>D17*(1-$B$6)+D16*$B$5</f>
        <v/>
      </c>
      <c r="F17" s="78">
        <f>E17*(1-$B$6)+E16*$B$5</f>
        <v/>
      </c>
      <c r="G17" s="78">
        <f>F17*(1-$B$6)+F16*$B$5</f>
        <v/>
      </c>
    </row>
    <row r="18">
      <c r="A18" s="2" t="inlineStr">
        <is>
          <t>Level 3 proficient</t>
        </is>
      </c>
      <c r="B18" s="84" t="n">
        <v>2</v>
      </c>
      <c r="C18" s="78">
        <f>B18*(1-$B$7)+B17*$B$6</f>
        <v/>
      </c>
      <c r="D18" s="78">
        <f>C18*(1-$B$7)+C17*$B$6</f>
        <v/>
      </c>
      <c r="E18" s="78">
        <f>D18*(1-$B$7)+D17*$B$6</f>
        <v/>
      </c>
      <c r="F18" s="78">
        <f>E18*(1-$B$7)+E17*$B$6</f>
        <v/>
      </c>
      <c r="G18" s="78">
        <f>F18*(1-$B$7)+F17*$B$6</f>
        <v/>
      </c>
    </row>
    <row r="19">
      <c r="A19" s="2" t="inlineStr">
        <is>
          <t>Level 4 expert</t>
        </is>
      </c>
      <c r="B19" s="84" t="n">
        <v>0</v>
      </c>
      <c r="C19" s="78">
        <f>B19+B18*$B$7</f>
        <v/>
      </c>
      <c r="D19" s="78">
        <f>C19+C18*$B$7</f>
        <v/>
      </c>
      <c r="E19" s="78">
        <f>D19+D18*$B$7</f>
        <v/>
      </c>
      <c r="F19" s="78">
        <f>E19+E18*$B$7</f>
        <v/>
      </c>
      <c r="G19" s="78">
        <f>F19+F18*$B$7</f>
        <v/>
      </c>
    </row>
    <row r="20">
      <c r="A20" s="3" t="inlineStr">
        <is>
          <t>Engineers at L3+</t>
        </is>
      </c>
      <c r="B20" s="53">
        <f>B18+B19</f>
        <v/>
      </c>
      <c r="C20" s="53">
        <f>C18+C19</f>
        <v/>
      </c>
      <c r="D20" s="53">
        <f>D18+D19</f>
        <v/>
      </c>
      <c r="E20" s="53">
        <f>E18+E19</f>
        <v/>
      </c>
      <c r="F20" s="53">
        <f>F18+F19</f>
        <v/>
      </c>
      <c r="G20" s="53">
        <f>G18+G19</f>
        <v/>
      </c>
    </row>
    <row r="22">
      <c r="A22" s="8" t="inlineStr">
        <is>
          <t>Programming (members per level)</t>
        </is>
      </c>
      <c r="B22" s="8" t="inlineStr">
        <is>
          <t>2025</t>
        </is>
      </c>
      <c r="C22" s="8" t="inlineStr">
        <is>
          <t>2026</t>
        </is>
      </c>
      <c r="D22" s="8" t="inlineStr">
        <is>
          <t>2027</t>
        </is>
      </c>
      <c r="E22" s="8" t="inlineStr">
        <is>
          <t>2028</t>
        </is>
      </c>
      <c r="F22" s="8" t="inlineStr">
        <is>
          <t>2029</t>
        </is>
      </c>
      <c r="G22" s="8" t="inlineStr">
        <is>
          <t>2030</t>
        </is>
      </c>
    </row>
    <row r="23">
      <c r="A23" s="2" t="inlineStr">
        <is>
          <t>Level 1 basic</t>
        </is>
      </c>
      <c r="B23" s="84" t="n">
        <v>14</v>
      </c>
      <c r="C23" s="78">
        <f>B23*(1-$B$5)</f>
        <v/>
      </c>
      <c r="D23" s="78">
        <f>C23*(1-$B$5)</f>
        <v/>
      </c>
      <c r="E23" s="78">
        <f>D23*(1-$B$5)</f>
        <v/>
      </c>
      <c r="F23" s="78">
        <f>E23*(1-$B$5)</f>
        <v/>
      </c>
      <c r="G23" s="78">
        <f>F23*(1-$B$5)</f>
        <v/>
      </c>
    </row>
    <row r="24">
      <c r="A24" s="2" t="inlineStr">
        <is>
          <t>Level 2 intermediate</t>
        </is>
      </c>
      <c r="B24" s="84" t="n">
        <v>10</v>
      </c>
      <c r="C24" s="78">
        <f>B24*(1-$B$6)+B23*$B$5</f>
        <v/>
      </c>
      <c r="D24" s="78">
        <f>C24*(1-$B$6)+C23*$B$5</f>
        <v/>
      </c>
      <c r="E24" s="78">
        <f>D24*(1-$B$6)+D23*$B$5</f>
        <v/>
      </c>
      <c r="F24" s="78">
        <f>E24*(1-$B$6)+E23*$B$5</f>
        <v/>
      </c>
      <c r="G24" s="78">
        <f>F24*(1-$B$6)+F23*$B$5</f>
        <v/>
      </c>
    </row>
    <row r="25">
      <c r="A25" s="2" t="inlineStr">
        <is>
          <t>Level 3 proficient</t>
        </is>
      </c>
      <c r="B25" s="84" t="n">
        <v>5</v>
      </c>
      <c r="C25" s="78">
        <f>B25*(1-$B$7)+B24*$B$6</f>
        <v/>
      </c>
      <c r="D25" s="78">
        <f>C25*(1-$B$7)+C24*$B$6</f>
        <v/>
      </c>
      <c r="E25" s="78">
        <f>D25*(1-$B$7)+D24*$B$6</f>
        <v/>
      </c>
      <c r="F25" s="78">
        <f>E25*(1-$B$7)+E24*$B$6</f>
        <v/>
      </c>
      <c r="G25" s="78">
        <f>F25*(1-$B$7)+F24*$B$6</f>
        <v/>
      </c>
    </row>
    <row r="26">
      <c r="A26" s="2" t="inlineStr">
        <is>
          <t>Level 4 expert</t>
        </is>
      </c>
      <c r="B26" s="84" t="n">
        <v>1</v>
      </c>
      <c r="C26" s="78">
        <f>B26+B25*$B$7</f>
        <v/>
      </c>
      <c r="D26" s="78">
        <f>C26+C25*$B$7</f>
        <v/>
      </c>
      <c r="E26" s="78">
        <f>D26+D25*$B$7</f>
        <v/>
      </c>
      <c r="F26" s="78">
        <f>E26+E25*$B$7</f>
        <v/>
      </c>
      <c r="G26" s="78">
        <f>F26+F25*$B$7</f>
        <v/>
      </c>
    </row>
    <row r="27">
      <c r="A27" s="3" t="inlineStr">
        <is>
          <t>Engineers at L3+</t>
        </is>
      </c>
      <c r="B27" s="53">
        <f>B25+B26</f>
        <v/>
      </c>
      <c r="C27" s="53">
        <f>C25+C26</f>
        <v/>
      </c>
      <c r="D27" s="53">
        <f>D25+D26</f>
        <v/>
      </c>
      <c r="E27" s="53">
        <f>E25+E26</f>
        <v/>
      </c>
      <c r="F27" s="53">
        <f>F25+F26</f>
        <v/>
      </c>
      <c r="G27" s="53">
        <f>G25+G26</f>
        <v/>
      </c>
    </row>
    <row r="29">
      <c r="A29" s="8" t="inlineStr">
        <is>
          <t>Engineer time &amp; knowledge</t>
        </is>
      </c>
      <c r="B29" s="8" t="inlineStr">
        <is>
          <t>2025</t>
        </is>
      </c>
      <c r="C29" s="8" t="inlineStr">
        <is>
          <t>2026</t>
        </is>
      </c>
      <c r="D29" s="8" t="inlineStr">
        <is>
          <t>2027</t>
        </is>
      </c>
      <c r="E29" s="8" t="inlineStr">
        <is>
          <t>2028</t>
        </is>
      </c>
      <c r="F29" s="8" t="inlineStr">
        <is>
          <t>2029</t>
        </is>
      </c>
      <c r="G29" s="8" t="inlineStr">
        <is>
          <t>2030</t>
        </is>
      </c>
    </row>
    <row r="30">
      <c r="A30" s="2" t="inlineStr">
        <is>
          <t>Routine support share</t>
        </is>
      </c>
      <c r="B30" s="20" t="n">
        <v>0.65</v>
      </c>
      <c r="C30" s="28">
        <f>MAX($B$9,B30-$B$8)</f>
        <v/>
      </c>
      <c r="D30" s="28">
        <f>MAX($B$9,C30-$B$8)</f>
        <v/>
      </c>
      <c r="E30" s="28">
        <f>MAX($B$9,D30-$B$8)</f>
        <v/>
      </c>
      <c r="F30" s="28">
        <f>MAX($B$9,E30-$B$8)</f>
        <v/>
      </c>
      <c r="G30" s="28">
        <f>MAX($B$9,F30-$B$8)</f>
        <v/>
      </c>
    </row>
    <row r="31">
      <c r="A31" s="2" t="inlineStr">
        <is>
          <t>Improvement &amp; development share</t>
        </is>
      </c>
      <c r="B31" s="28">
        <f>0.25+($B$30-B30)</f>
        <v/>
      </c>
      <c r="C31" s="28">
        <f>0.25+($B$30-C30)</f>
        <v/>
      </c>
      <c r="D31" s="28">
        <f>0.25+($B$30-D30)</f>
        <v/>
      </c>
      <c r="E31" s="28">
        <f>0.25+($B$30-E30)</f>
        <v/>
      </c>
      <c r="F31" s="28">
        <f>0.25+($B$30-F30)</f>
        <v/>
      </c>
      <c r="G31" s="28">
        <f>0.25+($B$30-G30)</f>
        <v/>
      </c>
    </row>
    <row r="32">
      <c r="A32" s="2" t="inlineStr">
        <is>
          <t>Improvement hours (team / yr)</t>
        </is>
      </c>
      <c r="B32" s="74">
        <f>B31*$B$10*$B$11</f>
        <v/>
      </c>
      <c r="C32" s="74">
        <f>C31*$B$10*$B$11</f>
        <v/>
      </c>
      <c r="D32" s="74">
        <f>D31*$B$10*$B$11</f>
        <v/>
      </c>
      <c r="E32" s="74">
        <f>E31*$B$10*$B$11</f>
        <v/>
      </c>
      <c r="F32" s="74">
        <f>F31*$B$10*$B$11</f>
        <v/>
      </c>
      <c r="G32" s="74">
        <f>G31*$B$10*$B$11</f>
        <v/>
      </c>
    </row>
    <row r="33">
      <c r="A33" s="2" t="inlineStr">
        <is>
          <t>Extra improvement hours vs 2025</t>
        </is>
      </c>
      <c r="B33" s="74">
        <f>B32-$B$32</f>
        <v/>
      </c>
      <c r="C33" s="74">
        <f>C32-$B$32</f>
        <v/>
      </c>
      <c r="D33" s="74">
        <f>D32-$B$32</f>
        <v/>
      </c>
      <c r="E33" s="74">
        <f>E32-$B$32</f>
        <v/>
      </c>
      <c r="F33" s="74">
        <f>F32-$B$32</f>
        <v/>
      </c>
      <c r="G33" s="74">
        <f>G32-$B$32</f>
        <v/>
      </c>
    </row>
    <row r="34">
      <c r="A34" s="2" t="inlineStr">
        <is>
          <t>Ideas per engineer (scales with improvement time)</t>
        </is>
      </c>
      <c r="B34" s="84" t="n">
        <v>2.4</v>
      </c>
      <c r="C34" s="78">
        <f>$B$34*C31/$B$31</f>
        <v/>
      </c>
      <c r="D34" s="78">
        <f>$B$34*D31/$B$31</f>
        <v/>
      </c>
      <c r="E34" s="78">
        <f>$B$34*E31/$B$31</f>
        <v/>
      </c>
      <c r="F34" s="78">
        <f>$B$34*F31/$B$31</f>
        <v/>
      </c>
      <c r="G34" s="78">
        <f>$B$34*G31/$B$31</f>
        <v/>
      </c>
    </row>
    <row r="35">
      <c r="A35" s="2" t="inlineStr">
        <is>
          <t>Critical know-how documented</t>
        </is>
      </c>
      <c r="B35" s="20" t="n">
        <v>0.33</v>
      </c>
      <c r="C35" s="28">
        <f>MIN(0.95,B35+$B$12)</f>
        <v/>
      </c>
      <c r="D35" s="28">
        <f>MIN(0.95,C35+$B$12)</f>
        <v/>
      </c>
      <c r="E35" s="28">
        <f>MIN(0.95,D35+$B$12)</f>
        <v/>
      </c>
      <c r="F35" s="28">
        <f>MIN(0.95,E35+$B$12)</f>
        <v/>
      </c>
      <c r="G35" s="28">
        <f>MIN(0.95,F35+$B$12)</f>
        <v/>
      </c>
    </row>
    <row r="36">
      <c r="A36" s="2" t="inlineStr">
        <is>
          <t>Months for new engineer to work independently</t>
        </is>
      </c>
      <c r="B36" s="84" t="n">
        <v>15</v>
      </c>
      <c r="C36" s="78">
        <f>MAX(6,$B$36-(C35-$B$35)*10*$B$13)</f>
        <v/>
      </c>
      <c r="D36" s="78">
        <f>MAX(6,$B$36-(D35-$B$35)*10*$B$13)</f>
        <v/>
      </c>
      <c r="E36" s="78">
        <f>MAX(6,$B$36-(E35-$B$35)*10*$B$13)</f>
        <v/>
      </c>
      <c r="F36" s="78">
        <f>MAX(6,$B$36-(F35-$B$35)*10*$B$13)</f>
        <v/>
      </c>
      <c r="G36" s="78">
        <f>MAX(6,$B$36-(G35-$B$35)*10*$B$13)</f>
        <v/>
      </c>
    </row>
    <row r="38">
      <c r="A38" s="3" t="inlineStr">
        <is>
          <t>Compare with KPI targets</t>
        </is>
      </c>
    </row>
    <row r="39">
      <c r="A39" s="2" t="inlineStr">
        <is>
          <t>Software &amp; AI engineers at L3+ in 2030 (feeds KPIs tab)</t>
        </is>
      </c>
      <c r="B39" s="53">
        <f>G20</f>
        <v/>
      </c>
    </row>
    <row r="40">
      <c r="A40" s="2" t="inlineStr">
        <is>
          <t>Programming engineers at L3+ in 2030 (feeds KPIs tab)</t>
        </is>
      </c>
      <c r="B40" s="53">
        <f>G27</f>
        <v/>
      </c>
    </row>
    <row r="41">
      <c r="A41" s="2" t="inlineStr">
        <is>
          <t>Engineer improvement share 2030 (feeds KPIs tab)</t>
        </is>
      </c>
      <c r="B41" s="21">
        <f>G31</f>
        <v/>
      </c>
    </row>
    <row r="42">
      <c r="A42" s="2" t="inlineStr">
        <is>
          <t>Extra improvement hours per year by 2030</t>
        </is>
      </c>
      <c r="B42" s="85">
        <f>G33</f>
        <v/>
      </c>
    </row>
    <row r="43">
      <c r="A43" s="2" t="inlineStr">
        <is>
          <t>Reading: if the model misses a KPI target, either the target or the academy design must change. Keep the two consistent in the deck.</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9"/>
  <sheetViews>
    <sheetView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44" customWidth="1" min="2" max="2"/>
    <col width="11" customWidth="1" min="3" max="3"/>
    <col width="15" customWidth="1" min="4" max="4"/>
    <col width="12" customWidth="1" min="5" max="5"/>
    <col width="22" customWidth="1" min="6" max="6"/>
    <col width="36" customWidth="1" min="7" max="7"/>
  </cols>
  <sheetData>
    <row r="1">
      <c r="A1" s="1" t="inlineStr">
        <is>
          <t>KPI tree: baseline from exhibits, targets are suggestions to debate</t>
        </is>
      </c>
    </row>
    <row r="3">
      <c r="A3" s="8" t="inlineStr">
        <is>
          <t>Level</t>
        </is>
      </c>
      <c r="B3" s="8" t="inlineStr">
        <is>
          <t>KPI</t>
        </is>
      </c>
      <c r="C3" s="8" t="inlineStr">
        <is>
          <t>Baseline</t>
        </is>
      </c>
      <c r="D3" s="8" t="inlineStr">
        <is>
          <t>Pilot target (2027)</t>
        </is>
      </c>
      <c r="E3" s="8" t="inlineStr">
        <is>
          <t>Target 2030</t>
        </is>
      </c>
      <c r="F3" s="8" t="inlineStr">
        <is>
          <t>Source of baseline</t>
        </is>
      </c>
      <c r="G3" s="8" t="inlineStr">
        <is>
          <t>Why judges care</t>
        </is>
      </c>
    </row>
    <row r="4">
      <c r="A4" s="47" t="inlineStr">
        <is>
          <t>Outcome: cost</t>
        </is>
      </c>
      <c r="B4" s="23" t="inlineStr">
        <is>
          <t>Conversion cost index (2023=100)</t>
        </is>
      </c>
      <c r="C4" s="25" t="n">
        <v>106</v>
      </c>
      <c r="D4" s="25" t="n">
        <v>102</v>
      </c>
      <c r="E4" s="86">
        <f>Dashboard!C10</f>
        <v/>
      </c>
      <c r="F4" s="23" t="inlineStr">
        <is>
          <t>Exhibit 3</t>
        </is>
      </c>
      <c r="G4" s="23" t="inlineStr">
        <is>
          <t>Headline competitiveness vs benchmark 89</t>
        </is>
      </c>
    </row>
    <row r="5">
      <c r="A5" s="47" t="inlineStr">
        <is>
          <t>Outcome: quality</t>
        </is>
      </c>
      <c r="B5" s="23" t="inlineStr">
        <is>
          <t>Scrap index</t>
        </is>
      </c>
      <c r="C5" s="25" t="n">
        <v>108</v>
      </c>
      <c r="D5" s="25" t="n">
        <v>95</v>
      </c>
      <c r="E5" s="25" t="n">
        <v>75</v>
      </c>
      <c r="F5" s="23" t="inlineStr">
        <is>
          <t>Exhibit 4 (VERIFY)</t>
        </is>
      </c>
      <c r="G5" s="23" t="inlineStr">
        <is>
          <t>Direct cost + quality signal</t>
        </is>
      </c>
    </row>
    <row r="6">
      <c r="A6" s="47" t="inlineStr">
        <is>
          <t>Outcome: quality</t>
        </is>
      </c>
      <c r="B6" s="23" t="inlineStr">
        <is>
          <t>Defects escaping downstream (index)</t>
        </is>
      </c>
      <c r="C6" s="25" t="n">
        <v>103</v>
      </c>
      <c r="D6" s="25" t="n">
        <v>90</v>
      </c>
      <c r="E6" s="25" t="n">
        <v>60</v>
      </c>
      <c r="F6" s="23" t="inlineStr">
        <is>
          <t>Exhibit 4 (VERIFY)</t>
        </is>
      </c>
      <c r="G6" s="23" t="inlineStr">
        <is>
          <t>Proves the closed loop works</t>
        </is>
      </c>
    </row>
    <row r="7">
      <c r="A7" s="47" t="inlineStr">
        <is>
          <t>Outcome: flexibility</t>
        </is>
      </c>
      <c r="B7" s="23" t="inlineStr">
        <is>
          <t>Equipment modification time per variant (months)</t>
        </is>
      </c>
      <c r="C7" s="25" t="n">
        <v>9</v>
      </c>
      <c r="D7" s="25" t="n">
        <v>7</v>
      </c>
      <c r="E7" s="86">
        <f>Dashboard!C14</f>
        <v/>
      </c>
      <c r="F7" s="23" t="inlineStr">
        <is>
          <t>Exhibit 4</t>
        </is>
      </c>
      <c r="G7" s="23" t="inlineStr">
        <is>
          <t>Multi-pathway readiness</t>
        </is>
      </c>
    </row>
    <row r="8">
      <c r="A8" s="47" t="inlineStr">
        <is>
          <t>Driver: process</t>
        </is>
      </c>
      <c r="B8" s="23" t="inlineStr">
        <is>
          <t>Unplanned downtime (index)</t>
        </is>
      </c>
      <c r="C8" s="25" t="n">
        <v>111</v>
      </c>
      <c r="D8" s="25" t="n">
        <v>100</v>
      </c>
      <c r="E8" s="25" t="n">
        <v>75</v>
      </c>
      <c r="F8" s="23" t="inlineStr">
        <is>
          <t>Exhibit 4</t>
        </is>
      </c>
      <c r="G8" s="23" t="inlineStr">
        <is>
          <t>Maintenance shift to predictive</t>
        </is>
      </c>
    </row>
    <row r="9">
      <c r="A9" s="47" t="inlineStr">
        <is>
          <t>Driver: process</t>
        </is>
      </c>
      <c r="B9" s="23" t="inlineStr">
        <is>
          <t>Operator NVA time (% hours)</t>
        </is>
      </c>
      <c r="C9" s="49" t="n">
        <v>0.22</v>
      </c>
      <c r="D9" s="49" t="n">
        <v>0.19</v>
      </c>
      <c r="E9" s="49" t="n">
        <v>0.15</v>
      </c>
      <c r="F9" s="23" t="inlineStr">
        <is>
          <t>Exhibit 4</t>
        </is>
      </c>
      <c r="G9" s="23" t="inlineStr">
        <is>
          <t>Productivity</t>
        </is>
      </c>
    </row>
    <row r="10">
      <c r="A10" s="47" t="inlineStr">
        <is>
          <t>Driver: process</t>
        </is>
      </c>
      <c r="B10" s="23" t="inlineStr">
        <is>
          <t>Processes on common data/interface standard (%)</t>
        </is>
      </c>
      <c r="C10" s="49" t="n">
        <v>0</v>
      </c>
      <c r="D10" s="49" t="n">
        <v>0.15</v>
      </c>
      <c r="E10" s="49" t="n">
        <v>0.8</v>
      </c>
      <c r="F10" s="23" t="inlineStr">
        <is>
          <t>New KPI</t>
        </is>
      </c>
      <c r="G10" s="23" t="inlineStr">
        <is>
          <t>Measures integration, not gadgets</t>
        </is>
      </c>
    </row>
    <row r="11">
      <c r="A11" s="47" t="inlineStr">
        <is>
          <t>Driver: people</t>
        </is>
      </c>
      <c r="B11" s="23" t="inlineStr">
        <is>
          <t>Engineer time on improvement (%)</t>
        </is>
      </c>
      <c r="C11" s="49" t="n">
        <v>0.25</v>
      </c>
      <c r="D11" s="49" t="n">
        <v>0.3</v>
      </c>
      <c r="E11" s="50">
        <f>Capability!G31</f>
        <v/>
      </c>
      <c r="F11" s="23" t="inlineStr">
        <is>
          <t>Exhibit 6A</t>
        </is>
      </c>
      <c r="G11" s="23" t="inlineStr">
        <is>
          <t>Talent not wasted</t>
        </is>
      </c>
    </row>
    <row r="12">
      <c r="A12" s="47" t="inlineStr">
        <is>
          <t>Driver: people</t>
        </is>
      </c>
      <c r="B12" s="23" t="inlineStr">
        <is>
          <t>Improvement ideas per engineer per year</t>
        </is>
      </c>
      <c r="C12" s="25" t="n">
        <v>2.4</v>
      </c>
      <c r="D12" s="25" t="n">
        <v>3</v>
      </c>
      <c r="E12" s="86">
        <f>Capability!G34</f>
        <v/>
      </c>
      <c r="F12" s="23" t="inlineStr">
        <is>
          <t>Exhibit 6A</t>
        </is>
      </c>
      <c r="G12" s="23" t="inlineStr">
        <is>
          <t>Kaizen engine restarted</t>
        </is>
      </c>
    </row>
    <row r="13">
      <c r="A13" s="47" t="inlineStr">
        <is>
          <t>Driver: people</t>
        </is>
      </c>
      <c r="B13" s="23" t="inlineStr">
        <is>
          <t>Ideas implemented (% submitted)</t>
        </is>
      </c>
      <c r="C13" s="49" t="n">
        <v>0.28</v>
      </c>
      <c r="D13" s="49" t="n">
        <v>0.35</v>
      </c>
      <c r="E13" s="49" t="n">
        <v>0.5</v>
      </c>
      <c r="F13" s="23" t="inlineStr">
        <is>
          <t>Exhibit 6A</t>
        </is>
      </c>
      <c r="G13" s="23" t="inlineStr">
        <is>
          <t>Ideas turn into value</t>
        </is>
      </c>
    </row>
    <row r="14">
      <c r="A14" s="47" t="inlineStr">
        <is>
          <t>Driver: people</t>
        </is>
      </c>
      <c r="B14" s="23" t="inlineStr">
        <is>
          <t>Operators trained on data-driven tools (%)</t>
        </is>
      </c>
      <c r="C14" s="49" t="n">
        <v>0.18</v>
      </c>
      <c r="D14" s="49" t="n">
        <v>0.5</v>
      </c>
      <c r="E14" s="49" t="n">
        <v>0.9</v>
      </c>
      <c r="F14" s="23" t="inlineStr">
        <is>
          <t>Exhibit 6B</t>
        </is>
      </c>
      <c r="G14" s="23" t="inlineStr">
        <is>
          <t>Adoption</t>
        </is>
      </c>
    </row>
    <row r="15">
      <c r="A15" s="47" t="inlineStr">
        <is>
          <t>Driver: people</t>
        </is>
      </c>
      <c r="B15" s="23" t="inlineStr">
        <is>
          <t>Operators overriding automated alerts (%)</t>
        </is>
      </c>
      <c r="C15" s="49" t="n">
        <v>0.31</v>
      </c>
      <c r="D15" s="49" t="n">
        <v>0.2</v>
      </c>
      <c r="E15" s="49" t="n">
        <v>0.1</v>
      </c>
      <c r="F15" s="23" t="inlineStr">
        <is>
          <t>Exhibit 6B</t>
        </is>
      </c>
      <c r="G15" s="23" t="inlineStr">
        <is>
          <t>Trust in the system</t>
        </is>
      </c>
    </row>
    <row r="16">
      <c r="A16" s="47" t="inlineStr">
        <is>
          <t>Driver: knowledge</t>
        </is>
      </c>
      <c r="B16" s="23" t="inlineStr">
        <is>
          <t>Critical know-how documented &amp; shared (%)</t>
        </is>
      </c>
      <c r="C16" s="49" t="n">
        <v>0.33</v>
      </c>
      <c r="D16" s="49" t="n">
        <v>0.5</v>
      </c>
      <c r="E16" s="50">
        <f>Capability!G35</f>
        <v/>
      </c>
      <c r="F16" s="23" t="inlineStr">
        <is>
          <t>Exhibit 6A</t>
        </is>
      </c>
      <c r="G16" s="23" t="inlineStr">
        <is>
          <t>Knowledge no longer in 1-2 heads</t>
        </is>
      </c>
    </row>
    <row r="17">
      <c r="A17" s="47" t="inlineStr">
        <is>
          <t>Driver: knowledge</t>
        </is>
      </c>
      <c r="B17" s="23" t="inlineStr">
        <is>
          <t>Months for new engineer to work independently</t>
        </is>
      </c>
      <c r="C17" s="25" t="n">
        <v>15</v>
      </c>
      <c r="D17" s="25" t="n">
        <v>13</v>
      </c>
      <c r="E17" s="86">
        <f>Capability!G36</f>
        <v/>
      </c>
      <c r="F17" s="23" t="inlineStr">
        <is>
          <t>Exhibit 6A</t>
        </is>
      </c>
      <c r="G17" s="23" t="inlineStr">
        <is>
          <t>Knowledge transfer speed</t>
        </is>
      </c>
    </row>
    <row r="18">
      <c r="A18" s="47" t="inlineStr">
        <is>
          <t>Driver: capability</t>
        </is>
      </c>
      <c r="B18" s="23" t="inlineStr">
        <is>
          <t>Engineers at Software &amp; AI level 3+ (of 30)</t>
        </is>
      </c>
      <c r="C18" s="25" t="n">
        <v>2</v>
      </c>
      <c r="D18" s="25" t="n">
        <v>6</v>
      </c>
      <c r="E18" s="86">
        <f>Capability!B39</f>
        <v/>
      </c>
      <c r="F18" s="23" t="inlineStr">
        <is>
          <t>Exhibit 7</t>
        </is>
      </c>
      <c r="G18" s="23" t="inlineStr">
        <is>
          <t>In-house capability built</t>
        </is>
      </c>
    </row>
    <row r="19">
      <c r="A19" s="47" t="inlineStr">
        <is>
          <t>Driver: capability</t>
        </is>
      </c>
      <c r="B19" s="23" t="inlineStr">
        <is>
          <t>Engineers at Programming level 3+ (of 30)</t>
        </is>
      </c>
      <c r="C19" s="25" t="n">
        <v>6</v>
      </c>
      <c r="D19" s="25" t="n">
        <v>10</v>
      </c>
      <c r="E19" s="86">
        <f>Capability!B40</f>
        <v/>
      </c>
      <c r="F19" s="23" t="inlineStr">
        <is>
          <t>Exhibit 7</t>
        </is>
      </c>
      <c r="G19" s="23" t="inlineStr">
        <is>
          <t>In-house capability built</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26" customWidth="1" min="1" max="1"/>
    <col width="30" customWidth="1" min="2" max="2"/>
    <col width="30" customWidth="1" min="3" max="3"/>
    <col width="30" customWidth="1" min="4" max="4"/>
    <col width="30" customWidth="1" min="5" max="5"/>
    <col width="30" customWidth="1" min="6" max="6"/>
  </cols>
  <sheetData>
    <row r="1">
      <c r="A1" s="1" t="inlineStr">
        <is>
          <t>Roadmap template 2026-2030 (edit to match your chosen idea)</t>
        </is>
      </c>
    </row>
    <row r="3">
      <c r="A3" s="8" t="inlineStr">
        <is>
          <t>Phase</t>
        </is>
      </c>
      <c r="B3" s="8" t="inlineStr">
        <is>
          <t>0. Prepare (Q4 2026)</t>
        </is>
      </c>
      <c r="C3" s="8" t="inlineStr">
        <is>
          <t>1. Pilot</t>
        </is>
      </c>
      <c r="D3" s="8" t="inlineStr">
        <is>
          <t>2. Standardize</t>
        </is>
      </c>
      <c r="E3" s="8" t="inlineStr">
        <is>
          <t>3. Roll out</t>
        </is>
      </c>
      <c r="F3" s="8" t="inlineStr">
        <is>
          <t>4. Scale &amp; sustain</t>
        </is>
      </c>
    </row>
    <row r="4" ht="48" customHeight="1">
      <c r="A4" s="22" t="inlineStr">
        <is>
          <t>Quick wins (protect the ramp-up)</t>
        </is>
      </c>
      <c r="B4" s="23" t="inlineStr">
        <is>
          <t>Sealer closed loop on existing CCTV AI camera after Oct 2026 validation; digital andon for alerts; idea channel live</t>
        </is>
      </c>
      <c r="C4" s="23" t="inlineStr">
        <is>
          <t>First citizen-built tools in pilot; top-20 troubleshooting know-how captured; monthly savings tracked vs plan</t>
        </is>
      </c>
      <c r="D4" s="23" t="inlineStr">
        <is>
          <t>Copy proven quick wins to 2-3 areas</t>
        </is>
      </c>
      <c r="E4" s="23" t="inlineStr">
        <is>
          <t>Quick-win playbook in standard work</t>
        </is>
      </c>
      <c r="F4" s="23" t="inlineStr">
        <is>
          <t>Continuous kaizen pipeline</t>
        </is>
      </c>
    </row>
    <row r="5" ht="48" customHeight="1">
      <c r="A5" s="22" t="inlineStr">
        <is>
          <t>Process &amp; quality loop</t>
        </is>
      </c>
      <c r="B5" s="23" t="inlineStr">
        <is>
          <t>Map pilot area value stream; define stop/correct rules; baseline KPIs</t>
        </is>
      </c>
      <c r="C5" s="23" t="inlineStr">
        <is>
          <t>Closed-loop feedback live in pilot area (e.g. sealer -&gt; inspection)</t>
        </is>
      </c>
      <c r="D5" s="23" t="inlineStr">
        <is>
          <t>Standard loop design + yokoten to 2-3 areas</t>
        </is>
      </c>
      <c r="E5" s="23" t="inlineStr">
        <is>
          <t>All vehicle processes Karawang I &amp; II</t>
        </is>
      </c>
      <c r="F5" s="23" t="inlineStr">
        <is>
          <t>Extend to engine plants (Sunter, Karawang III)</t>
        </is>
      </c>
    </row>
    <row r="6" ht="48" customHeight="1">
      <c r="A6" s="22" t="inlineStr">
        <is>
          <t>Data &amp; equipment standard</t>
        </is>
      </c>
      <c r="B6" s="23" t="inlineStr">
        <is>
          <t>Draft common interface/data standard; inventory equipment generations</t>
        </is>
      </c>
      <c r="C6" s="23" t="inlineStr">
        <is>
          <t>Pilot area on the standard</t>
        </is>
      </c>
      <c r="D6" s="23" t="inlineStr">
        <is>
          <t>Standard mandatory for new/modified equipment</t>
        </is>
      </c>
      <c r="E6" s="23" t="inlineStr">
        <is>
          <t>Legacy retrofit by priority</t>
        </is>
      </c>
      <c r="F6" s="23" t="inlineStr">
        <is>
          <t>Variant change by configuration</t>
        </is>
      </c>
    </row>
    <row r="7" ht="48" customHeight="1">
      <c r="A7" s="22" t="inlineStr">
        <is>
          <t>People &amp; kaizen</t>
        </is>
      </c>
      <c r="B7" s="23" t="inlineStr">
        <is>
          <t>Idea channel launched; change champions per line</t>
        </is>
      </c>
      <c r="C7" s="23" t="inlineStr">
        <is>
          <t>Operators in pilot trained; first citizen-built tools</t>
        </is>
      </c>
      <c r="D7" s="23" t="inlineStr">
        <is>
          <t>Kaizen + data skills in standard training</t>
        </is>
      </c>
      <c r="E7" s="23" t="inlineStr">
        <is>
          <t>Plant-wide adoption; recognition system</t>
        </is>
      </c>
      <c r="F7" s="23" t="inlineStr">
        <is>
          <t>Self-sustaining improvement culture</t>
        </is>
      </c>
    </row>
    <row r="8" ht="48" customHeight="1">
      <c r="A8" s="22" t="inlineStr">
        <is>
          <t>Knowledge</t>
        </is>
      </c>
      <c r="B8" s="23" t="inlineStr">
        <is>
          <t>Identify critical know-how held by 1-2 seniors</t>
        </is>
      </c>
      <c r="C8" s="23" t="inlineStr">
        <is>
          <t>Capture &amp; validate top items for pilot area</t>
        </is>
      </c>
      <c r="D8" s="23" t="inlineStr">
        <is>
          <t>Knowledge base linked to standard work</t>
        </is>
      </c>
      <c r="E8" s="23" t="inlineStr">
        <is>
          <t>All critical processes covered</t>
        </is>
      </c>
      <c r="F8" s="23" t="inlineStr">
        <is>
          <t>Living knowledge updated through kaizen</t>
        </is>
      </c>
    </row>
    <row r="9" ht="48" customHeight="1">
      <c r="A9" s="22" t="inlineStr">
        <is>
          <t>Capability (Exhibit 7)</t>
        </is>
      </c>
      <c r="B9" s="23" t="inlineStr">
        <is>
          <t>Skills assessment; academy design</t>
        </is>
      </c>
      <c r="C9" s="23" t="inlineStr">
        <is>
          <t>Cohort 1 (Software &amp; AI L1 -&gt; L2)</t>
        </is>
      </c>
      <c r="D9" s="23" t="inlineStr">
        <is>
          <t>Cohort 2 + first L3 engineers</t>
        </is>
      </c>
      <c r="E9" s="23" t="inlineStr">
        <is>
          <t>Internal trainers from L3 engineers</t>
        </is>
      </c>
      <c r="F9" s="23" t="inlineStr">
        <is>
          <t>Target L3+ count reached</t>
        </is>
      </c>
    </row>
    <row r="10" ht="48" customHeight="1">
      <c r="A10" s="22" t="inlineStr">
        <is>
          <t>Technology building blocks</t>
        </is>
      </c>
      <c r="B10" s="23" t="inlineStr">
        <is>
          <t>AI camera validation completes (Oct 2026)</t>
        </is>
      </c>
      <c r="C10" s="23" t="inlineStr">
        <is>
          <t>Use validated building blocks in pilot</t>
        </is>
      </c>
      <c r="D10" s="23" t="inlineStr">
        <is>
          <t>Reusable components library</t>
        </is>
      </c>
      <c r="E10" s="23" t="inlineStr">
        <is>
          <t>Scale infrastructure</t>
        </is>
      </c>
      <c r="F10" s="23" t="inlineStr">
        <is>
          <t>Continuous upgrade</t>
        </is>
      </c>
    </row>
    <row r="11" ht="48" customHeight="1">
      <c r="A11" s="22" t="inlineStr">
        <is>
          <t>Partners</t>
        </is>
      </c>
      <c r="B11" s="23" t="inlineStr">
        <is>
          <t>Decide build vs partner per component</t>
        </is>
      </c>
      <c r="C11" s="23" t="inlineStr">
        <is>
          <t>Partners for distinctive tech only</t>
        </is>
      </c>
      <c r="D11" s="23" t="inlineStr">
        <is>
          <t>Knowledge transfer clauses</t>
        </is>
      </c>
      <c r="E11" s="23" t="inlineStr">
        <is>
          <t>Reduce dependency</t>
        </is>
      </c>
      <c r="F11" s="23" t="inlineStr">
        <is>
          <t>Strategic partnerships</t>
        </is>
      </c>
    </row>
    <row r="12" ht="48" customHeight="1">
      <c r="A12" s="22" t="inlineStr">
        <is>
          <t>Gate / go-no-go</t>
        </is>
      </c>
      <c r="B12" s="23" t="inlineStr">
        <is>
          <t>Pilot area + KPIs agreed</t>
        </is>
      </c>
      <c r="C12" s="23" t="inlineStr">
        <is>
          <t>Pilot KPIs met?</t>
        </is>
      </c>
      <c r="D12" s="23" t="inlineStr">
        <is>
          <t>Standard proven in 2+ areas?</t>
        </is>
      </c>
      <c r="E12" s="23" t="inlineStr">
        <is>
          <t>Rollout on budget?</t>
        </is>
      </c>
      <c r="F12" s="23" t="inlineStr">
        <is>
          <t>2030 targets met</t>
        </is>
      </c>
    </row>
    <row r="13" ht="48" customHeight="1">
      <c r="A13" s="22" t="inlineStr">
        <is>
          <t>Investment share</t>
        </is>
      </c>
      <c r="B13" s="51">
        <f>Assumptions!B44</f>
        <v/>
      </c>
      <c r="C13" s="51">
        <f>Assumptions!C44</f>
        <v/>
      </c>
      <c r="D13" s="51">
        <f>Assumptions!D44</f>
        <v/>
      </c>
      <c r="E13" s="51">
        <f>Assumptions!E44</f>
        <v/>
      </c>
      <c r="F13" s="51">
        <f>Assumptions!F44</f>
        <v/>
      </c>
    </row>
    <row r="15">
      <c r="A15" s="3" t="inlineStr">
        <is>
          <t>Years per phase: align to Assumptions timing row (2026 = prepare/pilot start, 2027 pilot, 2028 standardize, 2029 rollout, 2030 scale).</t>
        </is>
      </c>
    </row>
    <row r="16">
      <c r="A16" s="3" t="inlineStr">
        <is>
          <t>Why quick wins matter: Simulation Test 2b, F: if savings arrive one year late, P(NPV&gt;0) falls from ~85% to ~33%.</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36" customWidth="1" min="1" max="1"/>
    <col width="11" customWidth="1" min="2" max="2"/>
    <col width="9" customWidth="1" min="3" max="3"/>
    <col width="8" customWidth="1" min="4" max="4"/>
    <col width="48" customWidth="1" min="5" max="5"/>
    <col width="26" customWidth="1" min="6" max="6"/>
    <col width="36" customWidth="1" min="7" max="7"/>
    <col width="15" customWidth="1" min="8" max="8"/>
  </cols>
  <sheetData>
    <row r="1">
      <c r="A1" s="1" t="inlineStr">
        <is>
          <t>Risk register (score = likelihood x impact, 1-5 each)</t>
        </is>
      </c>
    </row>
    <row r="3">
      <c r="A3" s="8" t="inlineStr">
        <is>
          <t>Risk</t>
        </is>
      </c>
      <c r="B3" s="8" t="inlineStr">
        <is>
          <t>Likelihood</t>
        </is>
      </c>
      <c r="C3" s="8" t="inlineStr">
        <is>
          <t>Impact</t>
        </is>
      </c>
      <c r="D3" s="8" t="inlineStr">
        <is>
          <t>Score</t>
        </is>
      </c>
      <c r="E3" s="8" t="inlineStr">
        <is>
          <t>Mitigation built into the idea</t>
        </is>
      </c>
      <c r="F3" s="8" t="inlineStr">
        <is>
          <t>Early-warning KPI</t>
        </is>
      </c>
      <c r="G3" s="8" t="inlineStr">
        <is>
          <t>Evidence / test</t>
        </is>
      </c>
      <c r="H3" s="8" t="inlineStr">
        <is>
          <t>Owner</t>
        </is>
      </c>
    </row>
    <row r="4" ht="48" customHeight="1">
      <c r="A4" s="22" t="inlineStr">
        <is>
          <t>Operators distrust or override AI alerts</t>
        </is>
      </c>
      <c r="B4" s="25" t="n">
        <v>4</v>
      </c>
      <c r="C4" s="25" t="n">
        <v>5</v>
      </c>
      <c r="D4" s="47">
        <f>B4*C4</f>
        <v/>
      </c>
      <c r="E4" s="23" t="inlineStr">
        <is>
          <t>Co-design alerts with team leaders; explain-why alerts; training before go-live; override reasons logged as kaizen input</t>
        </is>
      </c>
      <c r="F4" s="23" t="inlineStr">
        <is>
          <t>Alert override rate (31% today)</t>
        </is>
      </c>
      <c r="G4" s="23" t="inlineStr">
        <is>
          <t>Simulation: dismissals at 31% cut the scrap gain from ~85% to ~65%</t>
        </is>
      </c>
      <c r="H4" s="23" t="inlineStr">
        <is>
          <t>People lead</t>
        </is>
      </c>
    </row>
    <row r="5" ht="48" customHeight="1">
      <c r="A5" s="22" t="inlineStr">
        <is>
          <t>Pilot adoption below plan</t>
        </is>
      </c>
      <c r="B5" s="25" t="n">
        <v>3</v>
      </c>
      <c r="C5" s="25" t="n">
        <v>5</v>
      </c>
      <c r="D5" s="47">
        <f>B5*C5</f>
        <v/>
      </c>
      <c r="E5" s="23" t="inlineStr">
        <is>
          <t>Pilot-light phasing; go/no-go gate end-2027 on adoption + scrap KPIs</t>
        </is>
      </c>
      <c r="F5" s="23" t="inlineStr">
        <is>
          <t>Adoption %, pilot KPI hit rate</t>
        </is>
      </c>
      <c r="G5" s="23" t="inlineStr">
        <is>
          <t>Simulation Test 2b: gate + pilot-light raises P(NPV&gt;0)</t>
        </is>
      </c>
      <c r="H5" s="23" t="inlineStr">
        <is>
          <t>Program lead</t>
        </is>
      </c>
    </row>
    <row r="6" ht="48" customHeight="1">
      <c r="A6" s="22" t="inlineStr">
        <is>
          <t>AI camera fails accuracy/durability validation (Oct 2026)</t>
        </is>
      </c>
      <c r="B6" s="25" t="n">
        <v>2</v>
      </c>
      <c r="C6" s="25" t="n">
        <v>4</v>
      </c>
      <c r="D6" s="47">
        <f>B6*C6</f>
        <v/>
      </c>
      <c r="E6" s="23" t="inlineStr">
        <is>
          <t>Loop design is sensor-agnostic; fall back to operator check + digital andon while model is retrained</t>
        </is>
      </c>
      <c r="F6" s="23" t="inlineStr">
        <is>
          <t>Validation accuracy vs threshold</t>
        </is>
      </c>
      <c r="G6" s="23" t="inlineStr">
        <is>
          <t>Case: validation target Oct 2026</t>
        </is>
      </c>
      <c r="H6" s="23" t="inlineStr">
        <is>
          <t>Engineering</t>
        </is>
      </c>
    </row>
    <row r="7" ht="48" customHeight="1">
      <c r="A7" s="22" t="inlineStr">
        <is>
          <t>Data integration harder than expected (legacy equipment)</t>
        </is>
      </c>
      <c r="B7" s="25" t="n">
        <v>4</v>
      </c>
      <c r="C7" s="25" t="n">
        <v>4</v>
      </c>
      <c r="D7" s="47">
        <f>B7*C7</f>
        <v/>
      </c>
      <c r="E7" s="23" t="inlineStr">
        <is>
          <t>Start with pilot area only; common interface standard for new equipment first; retrofit by priority</t>
        </is>
      </c>
      <c r="F7" s="23" t="inlineStr">
        <is>
          <t>% pilot equipment on standard</t>
        </is>
      </c>
      <c r="G7" s="23" t="inlineStr">
        <is>
          <t>Exhibit 5: no common interface today</t>
        </is>
      </c>
      <c r="H7" s="23" t="inlineStr">
        <is>
          <t>Engineering</t>
        </is>
      </c>
    </row>
    <row r="8" ht="48" customHeight="1">
      <c r="A8" s="22" t="inlineStr">
        <is>
          <t>Engineers lack software/AI skills to build in-house</t>
        </is>
      </c>
      <c r="B8" s="25" t="n">
        <v>4</v>
      </c>
      <c r="C8" s="25" t="n">
        <v>4</v>
      </c>
      <c r="D8" s="47">
        <f>B8*C8</f>
        <v/>
      </c>
      <c r="E8" s="23" t="inlineStr">
        <is>
          <t>Academy cohorts; partner for first build with knowledge-transfer clause</t>
        </is>
      </c>
      <c r="F8" s="23" t="inlineStr">
        <is>
          <t>Engineers at L3+ (Capability tab)</t>
        </is>
      </c>
      <c r="G8" s="23" t="inlineStr">
        <is>
          <t>Exhibit 7: 2 of 30 at L3+ in Software &amp; AI</t>
        </is>
      </c>
      <c r="H8" s="23" t="inlineStr">
        <is>
          <t>People lead</t>
        </is>
      </c>
    </row>
    <row r="9" ht="48" customHeight="1">
      <c r="A9" s="22" t="inlineStr">
        <is>
          <t>Senior experts lack time to capture know-how</t>
        </is>
      </c>
      <c r="B9" s="25" t="n">
        <v>3</v>
      </c>
      <c r="C9" s="25" t="n">
        <v>3</v>
      </c>
      <c r="D9" s="47">
        <f>B9*C9</f>
        <v/>
      </c>
      <c r="E9" s="23" t="inlineStr">
        <is>
          <t>Protected capture sprints; recognition; AI-assisted interview transcripts validated by experts</t>
        </is>
      </c>
      <c r="F9" s="23" t="inlineStr">
        <is>
          <t>% critical know-how documented</t>
        </is>
      </c>
      <c r="G9" s="23" t="inlineStr">
        <is>
          <t>Exhibit 6A</t>
        </is>
      </c>
      <c r="H9" s="23" t="inlineStr">
        <is>
          <t>Knowledge lead</t>
        </is>
      </c>
    </row>
    <row r="10" ht="48" customHeight="1">
      <c r="A10" s="22" t="inlineStr">
        <is>
          <t>Savings not converted to cash (freed time absorbed)</t>
        </is>
      </c>
      <c r="B10" s="25" t="n">
        <v>3</v>
      </c>
      <c r="C10" s="25" t="n">
        <v>3</v>
      </c>
      <c r="D10" s="47">
        <f>B10*C10</f>
        <v/>
      </c>
      <c r="E10" s="23" t="inlineStr">
        <is>
          <t>Redeploy freed time to kaizen with tracked outcomes; no-layoff pledge to protect trust</t>
        </is>
      </c>
      <c r="F10" s="23" t="inlineStr">
        <is>
          <t>Hours redeployed vs ideas implemented</t>
        </is>
      </c>
      <c r="G10" s="23" t="inlineStr">
        <is>
          <t>Assumptions: 50% cash realization</t>
        </is>
      </c>
      <c r="H10" s="23" t="inlineStr">
        <is>
          <t>Finance</t>
        </is>
      </c>
    </row>
    <row r="11" ht="48" customHeight="1">
      <c r="A11" s="22" t="inlineStr">
        <is>
          <t>Savings ramp slower than plan (pilot results arrive late)</t>
        </is>
      </c>
      <c r="B11" s="25" t="n">
        <v>3</v>
      </c>
      <c r="C11" s="25" t="n">
        <v>5</v>
      </c>
      <c r="D11" s="47">
        <f>B11*C11</f>
        <v/>
      </c>
      <c r="E11" s="23" t="inlineStr">
        <is>
          <t>Start Phase 0 now on existing CCTV camera; pick quick wins for 2026-27; weekly pilot KPI review</t>
        </is>
      </c>
      <c r="F11" s="23" t="inlineStr">
        <is>
          <t>Pilot savings vs plan each quarter</t>
        </is>
      </c>
      <c r="G11" s="23" t="inlineStr">
        <is>
          <t>Simulation Test 2b, F: one-year delay cuts P(NPV&gt;0) from ~85% to ~33%</t>
        </is>
      </c>
      <c r="H11" s="23" t="inlineStr">
        <is>
          <t>Program lead</t>
        </is>
      </c>
    </row>
    <row r="12" ht="48" customHeight="1">
      <c r="A12" s="22" t="inlineStr">
        <is>
          <t>BEV volume ramps faster than plan (aggressive scenario)</t>
        </is>
      </c>
      <c r="B12" s="25" t="n">
        <v>2</v>
      </c>
      <c r="C12" s="25" t="n">
        <v>4</v>
      </c>
      <c r="D12" s="47">
        <f>B12*C12</f>
        <v/>
      </c>
      <c r="E12" s="23" t="inlineStr">
        <is>
          <t>Plug-and-produce standard lowers variant change cost; simulation-first preparation</t>
        </is>
      </c>
      <c r="F12" s="23" t="inlineStr">
        <is>
          <t>Months per variant change</t>
        </is>
      </c>
      <c r="G12" s="23" t="inlineStr">
        <is>
          <t>Exhibit 8 aggressive scenario: BEV 20% by 2030</t>
        </is>
      </c>
      <c r="H12" s="23" t="inlineStr">
        <is>
          <t>Program lead</t>
        </is>
      </c>
    </row>
    <row r="13" ht="48" customHeight="1">
      <c r="A13" s="22" t="inlineStr">
        <is>
          <t>Cybersecurity / data-governance issue from connected equipment</t>
        </is>
      </c>
      <c r="B13" s="25" t="n">
        <v>2</v>
      </c>
      <c r="C13" s="25" t="n">
        <v>4</v>
      </c>
      <c r="D13" s="47">
        <f>B13*C13</f>
        <v/>
      </c>
      <c r="E13" s="23" t="inlineStr">
        <is>
          <t>Segmented plant network; access governance in the data standard</t>
        </is>
      </c>
      <c r="F13" s="23" t="inlineStr">
        <is>
          <t>Security incidents</t>
        </is>
      </c>
      <c r="G13" s="23" t="inlineStr">
        <is>
          <t>Team judgement</t>
        </is>
      </c>
      <c r="H13" s="23" t="inlineStr">
        <is>
          <t>IT</t>
        </is>
      </c>
    </row>
  </sheetData>
  <conditionalFormatting sqref="D4:D13">
    <cfRule type="cellIs" priority="1" operator="greaterThanOrEqual" dxfId="0">
      <formula>15</formula>
    </cfRule>
    <cfRule type="cellIs" priority="2" operator="between" dxfId="1">
      <formula>8</formula>
      <formula>14</formula>
    </cfRule>
  </conditionalFormatting>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5" customWidth="1" min="1" max="1"/>
    <col width="40" customWidth="1" min="2" max="2"/>
    <col width="60" customWidth="1" min="3" max="3"/>
    <col width="42" customWidth="1" min="4" max="4"/>
    <col width="8" customWidth="1" min="5" max="5"/>
  </cols>
  <sheetData>
    <row r="1">
      <c r="A1" s="1" t="inlineStr">
        <is>
          <t>Likely judge questions: answer outline, evidence, owner</t>
        </is>
      </c>
    </row>
    <row r="3">
      <c r="A3" s="8" t="inlineStr">
        <is>
          <t>#</t>
        </is>
      </c>
      <c r="B3" s="8" t="inlineStr">
        <is>
          <t>Question</t>
        </is>
      </c>
      <c r="C3" s="8" t="inlineStr">
        <is>
          <t>Answer outline</t>
        </is>
      </c>
      <c r="D3" s="8" t="inlineStr">
        <is>
          <t>Evidence to cite</t>
        </is>
      </c>
      <c r="E3" s="8" t="inlineStr">
        <is>
          <t>Owner</t>
        </is>
      </c>
    </row>
    <row r="4" ht="44" customHeight="1">
      <c r="A4" s="47" t="n">
        <v>1</v>
      </c>
      <c r="B4" s="22" t="inlineStr">
        <is>
          <t>Why is this not just buying an AI camera?</t>
        </is>
      </c>
      <c r="C4" s="23" t="inlineStr">
        <is>
          <t>Tech at end-of-line raises scrap; value comes from where the check sits, how fast feedback travels, and who acts</t>
        </is>
      </c>
      <c r="D4" s="23" t="inlineStr">
        <is>
          <t>Simulation Test 1 (scenario 2 vs 4)</t>
        </is>
      </c>
      <c r="E4" s="23" t="inlineStr">
        <is>
          <t>M2</t>
        </is>
      </c>
    </row>
    <row r="5" ht="44" customHeight="1">
      <c r="A5" s="47" t="n">
        <v>2</v>
      </c>
      <c r="B5" s="22" t="inlineStr">
        <is>
          <t>What if operators don't trust the system?</t>
        </is>
      </c>
      <c r="C5" s="23" t="inlineStr">
        <is>
          <t>People design is in the idea: co-designed alerts, training first, overrides become kaizen input</t>
        </is>
      </c>
      <c r="D5" s="23" t="inlineStr">
        <is>
          <t>Exhibit 6B (31% override); dismissal chart in Simulation</t>
        </is>
      </c>
      <c r="E5" s="23" t="inlineStr">
        <is>
          <t>M1</t>
        </is>
      </c>
    </row>
    <row r="6" ht="44" customHeight="1">
      <c r="A6" s="47" t="n">
        <v>3</v>
      </c>
      <c r="B6" s="22" t="inlineStr">
        <is>
          <t>Why this pilot area?</t>
        </is>
      </c>
      <c r="C6" s="23" t="inlineStr">
        <is>
          <t>Largest gap between processes, clear defect-escape story, AI camera building block ready Oct 2026</t>
        </is>
      </c>
      <c r="D6" s="23" t="inlineStr">
        <is>
          <t>Exhibits 4, 5; gap heat map</t>
        </is>
      </c>
      <c r="E6" s="23" t="inlineStr">
        <is>
          <t>M2</t>
        </is>
      </c>
    </row>
    <row r="7" ht="44" customHeight="1">
      <c r="A7" s="47" t="n">
        <v>4</v>
      </c>
      <c r="B7" s="22" t="inlineStr">
        <is>
          <t>How confident are you in the savings?</t>
        </is>
      </c>
      <c r="C7" s="23" t="inlineStr">
        <is>
          <t>Base NPV + Monte Carlo probability; gate protects downside; ranges below external benchmarks</t>
        </is>
      </c>
      <c r="D7" s="23" t="inlineStr">
        <is>
          <t>Dashboard, Simulation Test 2/2b, Assumptions col G</t>
        </is>
      </c>
      <c r="E7" s="23" t="inlineStr">
        <is>
          <t>M3</t>
        </is>
      </c>
    </row>
    <row r="8" ht="44" customHeight="1">
      <c r="A8" s="47" t="n">
        <v>5</v>
      </c>
      <c r="B8" s="22" t="inlineStr">
        <is>
          <t>Which assumption hurts most if wrong?</t>
        </is>
      </c>
      <c r="C8" s="23" t="inlineStr">
        <is>
          <t>Name top tornado drivers and how the pilot tests each</t>
        </is>
      </c>
      <c r="D8" s="23" t="inlineStr">
        <is>
          <t>Simulation Test 3</t>
        </is>
      </c>
      <c r="E8" s="23" t="inlineStr">
        <is>
          <t>M3</t>
        </is>
      </c>
    </row>
    <row r="9" ht="44" customHeight="1">
      <c r="A9" s="47" t="n">
        <v>6</v>
      </c>
      <c r="B9" s="22" t="inlineStr">
        <is>
          <t>Why in-house instead of a vendor?</t>
        </is>
      </c>
      <c r="C9" s="23" t="inlineStr">
        <is>
          <t>Cheaper, flexible, connects to plant systems, builds capability; partner only for distinctive tech with knowledge transfer</t>
        </is>
      </c>
      <c r="D9" s="23" t="inlineStr">
        <is>
          <t>Case text on in-house strategy; Toyota insourcing (Toyota 2023)</t>
        </is>
      </c>
      <c r="E9" s="23" t="inlineStr">
        <is>
          <t>M2</t>
        </is>
      </c>
    </row>
    <row r="10" ht="44" customHeight="1">
      <c r="A10" s="47" t="n">
        <v>7</v>
      </c>
      <c r="B10" s="22" t="inlineStr">
        <is>
          <t>Will people lose jobs?</t>
        </is>
      </c>
      <c r="C10" s="23" t="inlineStr">
        <is>
          <t>Freed time redeployed to kaizen and new pathways; cash conversion only 50% assumed</t>
        </is>
      </c>
      <c r="D10" s="23" t="inlineStr">
        <is>
          <t>Assumptions row 28; Capability tab</t>
        </is>
      </c>
      <c r="E10" s="23" t="inlineStr">
        <is>
          <t>M1</t>
        </is>
      </c>
    </row>
    <row r="11" ht="44" customHeight="1">
      <c r="A11" s="47" t="n">
        <v>8</v>
      </c>
      <c r="B11" s="22" t="inlineStr">
        <is>
          <t>How does this help BEV / multi-pathway?</t>
        </is>
      </c>
      <c r="C11" s="23" t="inlineStr">
        <is>
          <t>Common interface + simulation-first preparation cut variant change months</t>
        </is>
      </c>
      <c r="D11" s="23" t="inlineStr">
        <is>
          <t>Dashboard months per variant; Exhibit 8; Siemens/Wipro PARI benchmark</t>
        </is>
      </c>
      <c r="E11" s="23" t="inlineStr">
        <is>
          <t>M2</t>
        </is>
      </c>
    </row>
    <row r="12" ht="44" customHeight="1">
      <c r="A12" s="47" t="n">
        <v>9</v>
      </c>
      <c r="B12" s="22" t="inlineStr">
        <is>
          <t>What happens if the AI camera fails validation?</t>
        </is>
      </c>
      <c r="C12" s="23" t="inlineStr">
        <is>
          <t>Loop is sensor-agnostic: digital andon + operator check while retraining</t>
        </is>
      </c>
      <c r="D12" s="23" t="inlineStr">
        <is>
          <t>Risks tab</t>
        </is>
      </c>
      <c r="E12" s="23" t="inlineStr">
        <is>
          <t>M2</t>
        </is>
      </c>
    </row>
    <row r="13" ht="44" customHeight="1">
      <c r="A13" s="47" t="n">
        <v>10</v>
      </c>
      <c r="B13" s="22" t="inlineStr">
        <is>
          <t>How do you capture senior know-how?</t>
        </is>
      </c>
      <c r="C13" s="23" t="inlineStr">
        <is>
          <t>Capture sprints, AI-assisted interviews validated by experts, linked to standard work</t>
        </is>
      </c>
      <c r="D13" s="23" t="inlineStr">
        <is>
          <t>Exhibit 6A; O-Beya precedent (Microsoft 2024)</t>
        </is>
      </c>
      <c r="E13" s="23" t="inlineStr">
        <is>
          <t>M1</t>
        </is>
      </c>
    </row>
    <row r="14" ht="44" customHeight="1">
      <c r="A14" s="47" t="n">
        <v>11</v>
      </c>
      <c r="B14" s="22" t="inlineStr">
        <is>
          <t>How is this different from what Toyota Japan does?</t>
        </is>
      </c>
      <c r="C14" s="23" t="inlineStr">
        <is>
          <t>Adapted to TMMIN: integrates quality loop + data standard + knowledge in one system, gated for local budget</t>
        </is>
      </c>
      <c r="D14" s="23" t="inlineStr">
        <is>
          <t>Ideation refs</t>
        </is>
      </c>
      <c r="E14" s="23" t="inlineStr">
        <is>
          <t>M1</t>
        </is>
      </c>
    </row>
    <row r="15" ht="44" customHeight="1">
      <c r="A15" s="47" t="n">
        <v>12</v>
      </c>
      <c r="B15" s="22" t="inlineStr">
        <is>
          <t>What do you need from TMMIN leadership now?</t>
        </is>
      </c>
      <c r="C15" s="23" t="inlineStr">
        <is>
          <t>Approve pilot area, Phase 0 budget, protected kaizen time, data standard ownership</t>
        </is>
      </c>
      <c r="D15" s="23" t="inlineStr">
        <is>
          <t>Roadmap tab</t>
        </is>
      </c>
      <c r="E15" s="23" t="inlineStr">
        <is>
          <t>M1</t>
        </is>
      </c>
    </row>
    <row r="16" ht="44" customHeight="1">
      <c r="A16" s="47" t="n">
        <v>13</v>
      </c>
      <c r="B16" s="22" t="inlineStr">
        <is>
          <t>How do you measure success?</t>
        </is>
      </c>
      <c r="C16" s="23" t="inlineStr">
        <is>
          <t>Outcome KPIs (cost index, scrap, months/variant) + driver KPIs (override rate, L3+ engineers, ideas)</t>
        </is>
      </c>
      <c r="D16" s="23" t="inlineStr">
        <is>
          <t>KPIs tab</t>
        </is>
      </c>
      <c r="E16" s="23" t="inlineStr">
        <is>
          <t>M3</t>
        </is>
      </c>
    </row>
    <row r="17" ht="44" customHeight="1">
      <c r="A17" s="47" t="n">
        <v>14</v>
      </c>
      <c r="B17" s="22" t="inlineStr">
        <is>
          <t>Why will engineers' improvement time actually rise?</t>
        </is>
      </c>
      <c r="C17" s="23" t="inlineStr">
        <is>
          <t>Knowledge base and citizen tools absorb routine troubleshooting</t>
        </is>
      </c>
      <c r="D17" s="23" t="inlineStr">
        <is>
          <t>Capability tab</t>
        </is>
      </c>
      <c r="E17" s="23" t="inlineStr">
        <is>
          <t>M1</t>
        </is>
      </c>
    </row>
    <row r="18" ht="44" customHeight="1">
      <c r="A18" s="47" t="n">
        <v>15</v>
      </c>
      <c r="B18" s="22" t="inlineStr">
        <is>
          <t>Is Rp[x]B realistic within the Rp40-120B range?</t>
        </is>
      </c>
      <c r="C18" s="23" t="inlineStr">
        <is>
          <t>Bottom-up by phase; pilot-light spends 25% before gate</t>
        </is>
      </c>
      <c r="D18" s="23" t="inlineStr">
        <is>
          <t>Assumptions rows 37, 44</t>
        </is>
      </c>
      <c r="E18" s="23" t="inlineStr">
        <is>
          <t>M3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2026-10-05T15:57:56Z</dcterms:created>
  <dcterms:modified xmlns:dcterms="http://purl.org/dc/terms/" xmlns:xsi="http://www.w3.org/2001/XMLSchema-instance" xsi:type="dcterms:W3CDTF">2026-10-05T16:41:17Z</dcterms:modified>
</cp:coreProperties>
</file>